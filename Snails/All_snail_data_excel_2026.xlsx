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space\github_projects\BIOL3712_temporary_snail_folder_2026\Snails\"/>
    </mc:Choice>
  </mc:AlternateContent>
  <xr:revisionPtr revIDLastSave="0" documentId="13_ncr:1_{16E09BF0-0DF5-4377-9908-B99549D5DA6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RAW DATA" sheetId="1" r:id="rId1"/>
    <sheet name="Control Data" sheetId="2" r:id="rId2"/>
    <sheet name="Data for 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4" i="1"/>
  <c r="J83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4" i="1"/>
  <c r="J85" i="1"/>
  <c r="J86" i="1"/>
  <c r="J87" i="1"/>
  <c r="J88" i="1"/>
  <c r="J89" i="1"/>
  <c r="J90" i="1"/>
  <c r="J91" i="1"/>
  <c r="J92" i="1"/>
  <c r="J93" i="1"/>
  <c r="J4" i="1"/>
  <c r="J32" i="2"/>
  <c r="J31" i="2"/>
  <c r="J30" i="2"/>
  <c r="J29" i="2"/>
  <c r="J28" i="2"/>
  <c r="J27" i="2"/>
  <c r="H7" i="2"/>
  <c r="H10" i="2"/>
  <c r="H14" i="2"/>
  <c r="J14" i="2" s="1"/>
  <c r="H17" i="2"/>
  <c r="J17" i="2" s="1"/>
  <c r="H21" i="2"/>
  <c r="J21" i="2" s="1"/>
  <c r="H22" i="2"/>
  <c r="J22" i="2" s="1"/>
  <c r="H18" i="2"/>
  <c r="J18" i="2" s="1"/>
  <c r="H8" i="2"/>
  <c r="J8" i="2" s="1"/>
  <c r="H11" i="2"/>
  <c r="H15" i="2"/>
  <c r="J15" i="2" s="1"/>
  <c r="H19" i="2"/>
  <c r="J19" i="2" s="1"/>
  <c r="H5" i="2"/>
  <c r="J5" i="2" s="1"/>
  <c r="H9" i="2"/>
  <c r="H12" i="2"/>
  <c r="H16" i="2"/>
  <c r="H20" i="2"/>
  <c r="J20" i="2" s="1"/>
  <c r="H23" i="2"/>
  <c r="J23" i="2" s="1"/>
  <c r="H13" i="2"/>
  <c r="H6" i="2"/>
  <c r="J6" i="2" s="1"/>
  <c r="H26" i="2"/>
  <c r="J26" i="2" s="1"/>
  <c r="H24" i="2"/>
  <c r="H25" i="2"/>
  <c r="J25" i="2" s="1"/>
  <c r="H4" i="2"/>
  <c r="J4" i="2" s="1"/>
  <c r="J7" i="2"/>
  <c r="J10" i="2"/>
  <c r="J11" i="2"/>
  <c r="J9" i="2"/>
  <c r="J12" i="2"/>
  <c r="J16" i="2"/>
  <c r="J13" i="2"/>
  <c r="J24" i="2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H37" i="1" l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L4" i="1"/>
  <c r="H4" i="1"/>
</calcChain>
</file>

<file path=xl/sharedStrings.xml><?xml version="1.0" encoding="utf-8"?>
<sst xmlns="http://schemas.openxmlformats.org/spreadsheetml/2006/main" count="154" uniqueCount="57">
  <si>
    <t>Group Name or control</t>
  </si>
  <si>
    <t>Temp (˚C)</t>
  </si>
  <si>
    <t>Start DO</t>
  </si>
  <si>
    <t>End DO</t>
  </si>
  <si>
    <t>Time (min)</t>
  </si>
  <si>
    <t>Time (hr)</t>
  </si>
  <si>
    <t>Volume (L)</t>
  </si>
  <si>
    <t>DO consumed (mg h-1)</t>
  </si>
  <si>
    <t>Snail mass (g)</t>
  </si>
  <si>
    <t>Snail mass (kg)</t>
  </si>
  <si>
    <t>Adjusted DO consumed (mg kg-1 h-1)</t>
  </si>
  <si>
    <t>mg L-1</t>
  </si>
  <si>
    <t>% sat</t>
  </si>
  <si>
    <t>((Start DO mg L-1-End DO mg L-1)/Time h) x volume L</t>
  </si>
  <si>
    <t>(DO consumed mg h-1/snail mass kg)</t>
  </si>
  <si>
    <t>15˚C control (1 &amp; 2)</t>
  </si>
  <si>
    <t>18 control Slugs with Homes</t>
  </si>
  <si>
    <t>21 control Got Gastro</t>
  </si>
  <si>
    <t>24 control Got Gastro</t>
  </si>
  <si>
    <t>-</t>
  </si>
  <si>
    <t>27 control Snailed It</t>
  </si>
  <si>
    <t>30 control Snailed It</t>
  </si>
  <si>
    <t>We Snailed It Two</t>
  </si>
  <si>
    <t>Probe #7</t>
  </si>
  <si>
    <t>Five guys (+1)</t>
  </si>
  <si>
    <t>Sleepy snails (control</t>
  </si>
  <si>
    <t>sleepy snails (control</t>
  </si>
  <si>
    <t>Sleepy snails</t>
  </si>
  <si>
    <t>Slugs with Homes</t>
  </si>
  <si>
    <t xml:space="preserve">Got Gastro </t>
  </si>
  <si>
    <t>Snailed It</t>
  </si>
  <si>
    <t>18 control #1</t>
  </si>
  <si>
    <t>21 control #Front/2</t>
  </si>
  <si>
    <t>24 control #Front/2 Gary's Fanclub</t>
  </si>
  <si>
    <t>27 control Escargot</t>
  </si>
  <si>
    <t>30 control #Front/2 (They See Me Snailing)</t>
  </si>
  <si>
    <t>Gary's Fanclub</t>
  </si>
  <si>
    <t>Escargot</t>
  </si>
  <si>
    <t>They See Me Snailing #Front/2</t>
  </si>
  <si>
    <t>shrimply shellfish</t>
  </si>
  <si>
    <t>shell yeh</t>
  </si>
  <si>
    <t>shell yeh control</t>
  </si>
  <si>
    <t>Breathe Gary</t>
  </si>
  <si>
    <t>L'escargot</t>
  </si>
  <si>
    <t>Slime Time</t>
  </si>
  <si>
    <t xml:space="preserve">Gary the gastropod </t>
  </si>
  <si>
    <t>control</t>
  </si>
  <si>
    <t>Snail Salon</t>
  </si>
  <si>
    <t>Sail Salon</t>
  </si>
  <si>
    <t>AVERAGE 15C</t>
  </si>
  <si>
    <t>AVERAGE 18C</t>
  </si>
  <si>
    <t>AVERAGE 21C</t>
  </si>
  <si>
    <t>AVERAGE 24C</t>
  </si>
  <si>
    <t>AVERAGE 28C</t>
  </si>
  <si>
    <t>AVERAGE 30C</t>
  </si>
  <si>
    <t>temp</t>
  </si>
  <si>
    <t>do_consumed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</si>
</sst>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2"/>
      <color rgb="FF000000"/>
      <name val="Calibri"/>
    </font>
    <font>
      <sz val="10"/>
      <name val="Arial"/>
    </font>
    <font>
      <b/>
      <sz val="12"/>
      <color rgb="FF00B0F0"/>
      <name val="Calibri"/>
    </font>
    <font>
      <b/>
      <sz val="12"/>
      <color rgb="FF7030A0"/>
      <name val="Calibri"/>
    </font>
    <font>
      <b/>
      <sz val="12"/>
      <color rgb="FFF79646"/>
      <name val="Calibri"/>
    </font>
    <font>
      <b/>
      <sz val="12"/>
      <color rgb="FF948A54"/>
      <name val="Calibri"/>
    </font>
    <font>
      <sz val="10"/>
      <color theme="1"/>
      <name val="Arial"/>
      <scheme val="minor"/>
    </font>
    <font>
      <sz val="12"/>
      <color rgb="FFFF0000"/>
      <name val="Calibri"/>
    </font>
    <font>
      <sz val="12"/>
      <color rgb="FF000000"/>
      <name val="Calibri"/>
    </font>
    <font>
      <sz val="12"/>
      <color rgb="FF00B050"/>
      <name val="Calibri"/>
    </font>
    <font>
      <sz val="11"/>
      <color rgb="FF000000"/>
      <name val="Calibri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DEBF7"/>
        <bgColor rgb="FFDDEBF7"/>
      </patternFill>
    </fill>
    <fill>
      <patternFill patternType="solid">
        <fgColor rgb="FFEFE1FA"/>
        <bgColor rgb="FFEFE1FA"/>
      </patternFill>
    </fill>
    <fill>
      <patternFill patternType="solid">
        <fgColor rgb="FFF2E5BF"/>
        <bgColor rgb="FFF2E5BF"/>
      </patternFill>
    </fill>
    <fill>
      <patternFill patternType="solid">
        <fgColor rgb="FFF2EAAE"/>
        <bgColor rgb="FFF2EAAE"/>
      </patternFill>
    </fill>
    <fill>
      <patternFill patternType="solid">
        <fgColor rgb="FFF8CBAD"/>
        <bgColor rgb="FFF8CBAD"/>
      </patternFill>
    </fill>
    <fill>
      <patternFill patternType="solid">
        <fgColor rgb="FFC6E0B4"/>
        <bgColor rgb="FFC6E0B4"/>
      </patternFill>
    </fill>
    <fill>
      <patternFill patternType="solid">
        <fgColor rgb="FFF2F2F2"/>
        <bgColor rgb="FFF2F2F2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8" fillId="0" borderId="4" xfId="0" applyFont="1" applyBorder="1"/>
    <xf numFmtId="0" fontId="9" fillId="7" borderId="4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1" fillId="8" borderId="4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horizontal="center" wrapText="1"/>
    </xf>
    <xf numFmtId="0" fontId="12" fillId="0" borderId="4" xfId="0" applyFont="1" applyBorder="1"/>
    <xf numFmtId="0" fontId="12" fillId="7" borderId="4" xfId="0" applyFont="1" applyFill="1" applyBorder="1"/>
    <xf numFmtId="0" fontId="12" fillId="8" borderId="7" xfId="0" applyFont="1" applyFill="1" applyBorder="1"/>
    <xf numFmtId="0" fontId="12" fillId="0" borderId="7" xfId="0" applyFont="1" applyBorder="1"/>
    <xf numFmtId="0" fontId="12" fillId="4" borderId="7" xfId="0" applyFont="1" applyFill="1" applyBorder="1"/>
    <xf numFmtId="0" fontId="12" fillId="8" borderId="4" xfId="0" applyFont="1" applyFill="1" applyBorder="1"/>
    <xf numFmtId="0" fontId="12" fillId="4" borderId="4" xfId="0" applyFont="1" applyFill="1" applyBorder="1"/>
    <xf numFmtId="0" fontId="12" fillId="9" borderId="4" xfId="0" applyFont="1" applyFill="1" applyBorder="1"/>
    <xf numFmtId="0" fontId="8" fillId="0" borderId="0" xfId="0" applyFont="1"/>
    <xf numFmtId="0" fontId="8" fillId="7" borderId="4" xfId="0" applyFont="1" applyFill="1" applyBorder="1"/>
    <xf numFmtId="20" fontId="8" fillId="8" borderId="7" xfId="0" applyNumberFormat="1" applyFont="1" applyFill="1" applyBorder="1"/>
    <xf numFmtId="0" fontId="8" fillId="0" borderId="7" xfId="0" applyFont="1" applyBorder="1"/>
    <xf numFmtId="0" fontId="12" fillId="0" borderId="0" xfId="0" applyFont="1"/>
    <xf numFmtId="2" fontId="12" fillId="3" borderId="7" xfId="0" applyNumberFormat="1" applyFont="1" applyFill="1" applyBorder="1" applyAlignment="1">
      <alignment horizontal="right"/>
    </xf>
    <xf numFmtId="2" fontId="12" fillId="5" borderId="4" xfId="0" applyNumberFormat="1" applyFont="1" applyFill="1" applyBorder="1" applyAlignment="1">
      <alignment horizontal="right"/>
    </xf>
    <xf numFmtId="0" fontId="14" fillId="0" borderId="5" xfId="0" applyFont="1" applyBorder="1"/>
    <xf numFmtId="2" fontId="0" fillId="0" borderId="0" xfId="0" applyNumberFormat="1"/>
    <xf numFmtId="0" fontId="13" fillId="0" borderId="0" xfId="0" applyFont="1"/>
    <xf numFmtId="2" fontId="12" fillId="6" borderId="4" xfId="0" applyNumberFormat="1" applyFont="1" applyFill="1" applyBorder="1" applyAlignment="1">
      <alignment horizontal="right"/>
    </xf>
    <xf numFmtId="2" fontId="12" fillId="0" borderId="4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5" xfId="0" applyFont="1" applyBorder="1"/>
    <xf numFmtId="0" fontId="3" fillId="0" borderId="8" xfId="0" applyFont="1" applyBorder="1"/>
    <xf numFmtId="0" fontId="5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6" xfId="0" applyFont="1" applyBorder="1"/>
    <xf numFmtId="0" fontId="3" fillId="0" borderId="7" xfId="0" applyFont="1" applyBorder="1"/>
    <xf numFmtId="0" fontId="6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8"/>
  <sheetViews>
    <sheetView tabSelected="1" workbookViewId="0">
      <pane ySplit="3" topLeftCell="A30" activePane="bottomLeft" state="frozen"/>
      <selection pane="bottomLeft" activeCell="F54" sqref="F54"/>
    </sheetView>
  </sheetViews>
  <sheetFormatPr defaultColWidth="12.5703125" defaultRowHeight="15.75" customHeight="1" x14ac:dyDescent="0.2"/>
  <cols>
    <col min="1" max="1" width="32.7109375" customWidth="1"/>
    <col min="10" max="10" width="52.140625" bestFit="1" customWidth="1"/>
    <col min="12" max="12" width="15.42578125" bestFit="1" customWidth="1"/>
    <col min="13" max="13" width="38.28515625" bestFit="1" customWidth="1"/>
  </cols>
  <sheetData>
    <row r="1" spans="1:26" ht="12.75" x14ac:dyDescent="0.2">
      <c r="A1" s="31" t="s">
        <v>0</v>
      </c>
      <c r="B1" s="32" t="s">
        <v>1</v>
      </c>
      <c r="C1" s="33" t="s">
        <v>2</v>
      </c>
      <c r="D1" s="34"/>
      <c r="E1" s="33" t="s">
        <v>3</v>
      </c>
      <c r="F1" s="34"/>
      <c r="G1" s="32" t="s">
        <v>4</v>
      </c>
      <c r="H1" s="27" t="s">
        <v>5</v>
      </c>
      <c r="I1" s="30" t="s">
        <v>6</v>
      </c>
      <c r="J1" s="37" t="s">
        <v>7</v>
      </c>
      <c r="K1" s="32" t="s">
        <v>8</v>
      </c>
      <c r="L1" s="38" t="s">
        <v>9</v>
      </c>
      <c r="M1" s="32" t="s">
        <v>10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28"/>
      <c r="B2" s="28"/>
      <c r="C2" s="35"/>
      <c r="D2" s="36"/>
      <c r="E2" s="35"/>
      <c r="F2" s="36"/>
      <c r="G2" s="28"/>
      <c r="H2" s="28"/>
      <c r="I2" s="28"/>
      <c r="J2" s="29"/>
      <c r="K2" s="28"/>
      <c r="L2" s="28"/>
      <c r="M2" s="29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29"/>
      <c r="B3" s="29"/>
      <c r="C3" s="2" t="s">
        <v>11</v>
      </c>
      <c r="D3" s="3" t="s">
        <v>12</v>
      </c>
      <c r="E3" s="4" t="s">
        <v>11</v>
      </c>
      <c r="F3" s="3" t="s">
        <v>12</v>
      </c>
      <c r="G3" s="29"/>
      <c r="H3" s="29"/>
      <c r="I3" s="29"/>
      <c r="J3" s="5" t="s">
        <v>13</v>
      </c>
      <c r="K3" s="29"/>
      <c r="L3" s="29"/>
      <c r="M3" s="6" t="s">
        <v>14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7" t="s">
        <v>22</v>
      </c>
      <c r="B4" s="7">
        <v>15</v>
      </c>
      <c r="C4" s="8">
        <v>9.92</v>
      </c>
      <c r="D4" s="7">
        <v>103.7</v>
      </c>
      <c r="E4" s="12">
        <v>8.82</v>
      </c>
      <c r="F4" s="7">
        <v>100.1</v>
      </c>
      <c r="G4" s="7">
        <v>60</v>
      </c>
      <c r="H4" s="20">
        <f t="shared" ref="H4:H37" si="0">G4/60</f>
        <v>1</v>
      </c>
      <c r="I4" s="13">
        <v>0.25</v>
      </c>
      <c r="J4" s="21">
        <f>((C4-E4)/H4)*I4</f>
        <v>0.27499999999999991</v>
      </c>
      <c r="K4" s="7">
        <v>6.15</v>
      </c>
      <c r="L4" s="25">
        <f>K4/1000</f>
        <v>6.1500000000000001E-3</v>
      </c>
      <c r="M4" s="26">
        <f>J4/L4</f>
        <v>44.715447154471526</v>
      </c>
      <c r="N4" s="39" t="s">
        <v>23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7" t="s">
        <v>22</v>
      </c>
      <c r="B5" s="7">
        <v>18</v>
      </c>
      <c r="C5" s="8">
        <v>8.84</v>
      </c>
      <c r="D5" s="7">
        <v>100.5</v>
      </c>
      <c r="E5" s="12">
        <v>8.64</v>
      </c>
      <c r="F5" s="7">
        <v>98.4</v>
      </c>
      <c r="G5" s="7">
        <v>60</v>
      </c>
      <c r="H5" s="20">
        <f t="shared" si="0"/>
        <v>1</v>
      </c>
      <c r="I5" s="13">
        <v>0.25</v>
      </c>
      <c r="J5" s="21">
        <f t="shared" ref="J5:J68" si="1">((C5-E5)/H5)*I5</f>
        <v>4.9999999999999822E-2</v>
      </c>
      <c r="K5" s="7">
        <v>5.45</v>
      </c>
      <c r="L5" s="25">
        <f t="shared" ref="L5:L68" si="2">K5/1000</f>
        <v>5.45E-3</v>
      </c>
      <c r="M5" s="26">
        <f t="shared" ref="M5:M68" si="3">J5/L5</f>
        <v>9.1743119266054727</v>
      </c>
      <c r="N5" s="28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7" t="s">
        <v>22</v>
      </c>
      <c r="B6" s="7">
        <v>21</v>
      </c>
      <c r="C6" s="8">
        <v>8.2200000000000006</v>
      </c>
      <c r="D6" s="7">
        <v>96.3</v>
      </c>
      <c r="E6" s="12">
        <v>8.82</v>
      </c>
      <c r="F6" s="7">
        <v>102.4</v>
      </c>
      <c r="G6" s="7">
        <v>60</v>
      </c>
      <c r="H6" s="20">
        <f t="shared" si="0"/>
        <v>1</v>
      </c>
      <c r="I6" s="13">
        <v>0.25</v>
      </c>
      <c r="J6" s="21">
        <f t="shared" si="1"/>
        <v>-0.14999999999999991</v>
      </c>
      <c r="K6" s="7">
        <v>10.28</v>
      </c>
      <c r="L6" s="25">
        <f t="shared" si="2"/>
        <v>1.0279999999999999E-2</v>
      </c>
      <c r="M6" s="26">
        <f t="shared" si="3"/>
        <v>-14.591439688715946</v>
      </c>
      <c r="N6" s="28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7" t="s">
        <v>22</v>
      </c>
      <c r="B7" s="7">
        <v>24</v>
      </c>
      <c r="C7" s="8">
        <v>8.56</v>
      </c>
      <c r="D7" s="7">
        <v>102.1</v>
      </c>
      <c r="E7" s="12">
        <v>7.43</v>
      </c>
      <c r="F7" s="7">
        <v>104.3</v>
      </c>
      <c r="G7" s="7">
        <v>60</v>
      </c>
      <c r="H7" s="20">
        <f t="shared" si="0"/>
        <v>1</v>
      </c>
      <c r="I7" s="13">
        <v>0.25</v>
      </c>
      <c r="J7" s="21">
        <f t="shared" si="1"/>
        <v>0.2825000000000002</v>
      </c>
      <c r="K7" s="7">
        <v>7.89</v>
      </c>
      <c r="L7" s="25">
        <f t="shared" si="2"/>
        <v>7.8899999999999994E-3</v>
      </c>
      <c r="M7" s="26">
        <f t="shared" si="3"/>
        <v>35.804816223067199</v>
      </c>
      <c r="N7" s="28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7" t="s">
        <v>22</v>
      </c>
      <c r="B8" s="7">
        <v>27</v>
      </c>
      <c r="C8" s="8">
        <v>7.82</v>
      </c>
      <c r="D8" s="7">
        <v>96.6</v>
      </c>
      <c r="E8" s="12">
        <v>8.75</v>
      </c>
      <c r="F8" s="7">
        <v>99.6</v>
      </c>
      <c r="G8" s="7">
        <v>60</v>
      </c>
      <c r="H8" s="20">
        <f t="shared" si="0"/>
        <v>1</v>
      </c>
      <c r="I8" s="13">
        <v>0.25</v>
      </c>
      <c r="J8" s="21">
        <f t="shared" si="1"/>
        <v>-0.23249999999999993</v>
      </c>
      <c r="K8" s="7">
        <v>4.28</v>
      </c>
      <c r="L8" s="25">
        <f t="shared" si="2"/>
        <v>4.28E-3</v>
      </c>
      <c r="M8" s="26">
        <f t="shared" si="3"/>
        <v>-54.322429906542041</v>
      </c>
      <c r="N8" s="28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7" t="s">
        <v>22</v>
      </c>
      <c r="B9" s="7">
        <v>30</v>
      </c>
      <c r="C9" s="8">
        <v>7.62</v>
      </c>
      <c r="D9" s="7">
        <v>96.8</v>
      </c>
      <c r="E9" s="12">
        <v>8.75</v>
      </c>
      <c r="F9" s="14">
        <v>99.7</v>
      </c>
      <c r="G9" s="7">
        <v>60</v>
      </c>
      <c r="H9" s="20">
        <f t="shared" si="0"/>
        <v>1</v>
      </c>
      <c r="I9" s="13">
        <v>0.25</v>
      </c>
      <c r="J9" s="21">
        <f t="shared" si="1"/>
        <v>-0.28249999999999997</v>
      </c>
      <c r="K9" s="14">
        <v>10.24</v>
      </c>
      <c r="L9" s="25">
        <f t="shared" si="2"/>
        <v>1.0240000000000001E-2</v>
      </c>
      <c r="M9" s="26">
        <f t="shared" si="3"/>
        <v>-27.587890624999996</v>
      </c>
      <c r="N9" s="2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7" t="s">
        <v>24</v>
      </c>
      <c r="B10" s="7">
        <v>15</v>
      </c>
      <c r="C10" s="8">
        <v>10.1</v>
      </c>
      <c r="D10" s="14">
        <v>103</v>
      </c>
      <c r="E10" s="12">
        <v>8.75</v>
      </c>
      <c r="F10" s="14">
        <v>94.7</v>
      </c>
      <c r="G10" s="14">
        <v>55</v>
      </c>
      <c r="H10" s="20">
        <f t="shared" si="0"/>
        <v>0.91666666666666663</v>
      </c>
      <c r="I10" s="13">
        <v>0.25</v>
      </c>
      <c r="J10" s="21">
        <f t="shared" si="1"/>
        <v>0.36818181818181811</v>
      </c>
      <c r="K10" s="14">
        <v>6.58</v>
      </c>
      <c r="L10" s="25">
        <f t="shared" si="2"/>
        <v>6.5799999999999999E-3</v>
      </c>
      <c r="M10" s="26">
        <f t="shared" si="3"/>
        <v>55.954683614258073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7" t="s">
        <v>24</v>
      </c>
      <c r="B11" s="7">
        <v>18</v>
      </c>
      <c r="C11" s="8">
        <v>8.43</v>
      </c>
      <c r="D11" s="14">
        <v>102</v>
      </c>
      <c r="E11" s="12">
        <v>5.95</v>
      </c>
      <c r="F11" s="14">
        <v>79.5</v>
      </c>
      <c r="G11" s="14">
        <v>55</v>
      </c>
      <c r="H11" s="20">
        <f t="shared" si="0"/>
        <v>0.91666666666666663</v>
      </c>
      <c r="I11" s="13">
        <v>0.25</v>
      </c>
      <c r="J11" s="21">
        <f t="shared" si="1"/>
        <v>0.67636363636363628</v>
      </c>
      <c r="K11" s="14">
        <v>5.35</v>
      </c>
      <c r="L11" s="25">
        <f t="shared" si="2"/>
        <v>5.3499999999999997E-3</v>
      </c>
      <c r="M11" s="26">
        <f t="shared" si="3"/>
        <v>126.42310960067968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7" t="s">
        <v>24</v>
      </c>
      <c r="B12" s="7">
        <v>21</v>
      </c>
      <c r="C12" s="8">
        <v>8.9499999999999993</v>
      </c>
      <c r="D12" s="14">
        <v>100</v>
      </c>
      <c r="E12" s="12">
        <v>7.19</v>
      </c>
      <c r="F12" s="14">
        <v>79.400000000000006</v>
      </c>
      <c r="G12" s="14">
        <v>55</v>
      </c>
      <c r="H12" s="20">
        <f t="shared" si="0"/>
        <v>0.91666666666666663</v>
      </c>
      <c r="I12" s="13">
        <v>0.25</v>
      </c>
      <c r="J12" s="21">
        <f t="shared" si="1"/>
        <v>0.4799999999999997</v>
      </c>
      <c r="K12" s="14">
        <v>3.52</v>
      </c>
      <c r="L12" s="25">
        <f t="shared" si="2"/>
        <v>3.5200000000000001E-3</v>
      </c>
      <c r="M12" s="26">
        <f t="shared" si="3"/>
        <v>136.36363636363629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7" t="s">
        <v>24</v>
      </c>
      <c r="B13" s="7">
        <v>24</v>
      </c>
      <c r="C13" s="8">
        <v>7.5</v>
      </c>
      <c r="D13" s="14">
        <v>88.5</v>
      </c>
      <c r="E13" s="12">
        <v>6.25</v>
      </c>
      <c r="F13" s="14">
        <v>71.8</v>
      </c>
      <c r="G13" s="14">
        <v>55</v>
      </c>
      <c r="H13" s="20">
        <f t="shared" si="0"/>
        <v>0.91666666666666663</v>
      </c>
      <c r="I13" s="13">
        <v>0.25</v>
      </c>
      <c r="J13" s="21">
        <f t="shared" si="1"/>
        <v>0.34090909090909094</v>
      </c>
      <c r="K13" s="14">
        <v>5.77</v>
      </c>
      <c r="L13" s="25">
        <f t="shared" si="2"/>
        <v>5.77E-3</v>
      </c>
      <c r="M13" s="26">
        <f t="shared" si="3"/>
        <v>59.083031353395313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7" t="s">
        <v>24</v>
      </c>
      <c r="B14" s="7">
        <v>27</v>
      </c>
      <c r="C14" s="8">
        <v>8.15</v>
      </c>
      <c r="D14" s="7">
        <v>99.5</v>
      </c>
      <c r="E14" s="12">
        <v>4.3499999999999996</v>
      </c>
      <c r="F14" s="7">
        <v>51.7</v>
      </c>
      <c r="G14" s="14">
        <v>55</v>
      </c>
      <c r="H14" s="20">
        <f t="shared" si="0"/>
        <v>0.91666666666666663</v>
      </c>
      <c r="I14" s="13">
        <v>0.25</v>
      </c>
      <c r="J14" s="21">
        <f t="shared" si="1"/>
        <v>1.0363636363636366</v>
      </c>
      <c r="K14" s="7">
        <v>6.23</v>
      </c>
      <c r="L14" s="25">
        <f t="shared" si="2"/>
        <v>6.2300000000000003E-3</v>
      </c>
      <c r="M14" s="26">
        <f t="shared" si="3"/>
        <v>166.35050342915514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7" t="s">
        <v>24</v>
      </c>
      <c r="B15" s="7">
        <v>30</v>
      </c>
      <c r="C15" s="8">
        <v>7.32</v>
      </c>
      <c r="D15" s="7">
        <v>92.5</v>
      </c>
      <c r="E15" s="12">
        <v>5.32</v>
      </c>
      <c r="F15" s="7">
        <v>67.3</v>
      </c>
      <c r="G15" s="14">
        <v>55</v>
      </c>
      <c r="H15" s="20">
        <f t="shared" si="0"/>
        <v>0.91666666666666663</v>
      </c>
      <c r="I15" s="13">
        <v>0.25</v>
      </c>
      <c r="J15" s="21">
        <f t="shared" si="1"/>
        <v>0.54545454545454553</v>
      </c>
      <c r="K15" s="7">
        <v>5.62</v>
      </c>
      <c r="L15" s="25">
        <f t="shared" si="2"/>
        <v>5.62E-3</v>
      </c>
      <c r="M15" s="26">
        <f t="shared" si="3"/>
        <v>97.055968942089947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7" t="s">
        <v>27</v>
      </c>
      <c r="B16" s="7">
        <v>15</v>
      </c>
      <c r="C16" s="8">
        <v>13.2</v>
      </c>
      <c r="D16" s="7">
        <v>141.6</v>
      </c>
      <c r="E16" s="12">
        <v>10.6</v>
      </c>
      <c r="F16" s="7">
        <v>121.3</v>
      </c>
      <c r="G16" s="7">
        <v>54</v>
      </c>
      <c r="H16" s="20">
        <f t="shared" si="0"/>
        <v>0.9</v>
      </c>
      <c r="I16" s="13">
        <v>0.25</v>
      </c>
      <c r="J16" s="21">
        <f t="shared" si="1"/>
        <v>0.7222222222222221</v>
      </c>
      <c r="K16" s="14">
        <v>3.64</v>
      </c>
      <c r="L16" s="25">
        <f t="shared" si="2"/>
        <v>3.64E-3</v>
      </c>
      <c r="M16" s="26">
        <f t="shared" si="3"/>
        <v>198.41269841269838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7" t="s">
        <v>27</v>
      </c>
      <c r="B17" s="7">
        <v>18</v>
      </c>
      <c r="C17" s="8">
        <v>10.8</v>
      </c>
      <c r="D17" s="7">
        <v>121.6</v>
      </c>
      <c r="E17" s="12">
        <v>10.1</v>
      </c>
      <c r="F17" s="7">
        <v>117.7</v>
      </c>
      <c r="G17" s="7">
        <v>62</v>
      </c>
      <c r="H17" s="20">
        <f t="shared" si="0"/>
        <v>1.0333333333333334</v>
      </c>
      <c r="I17" s="13">
        <v>0.25</v>
      </c>
      <c r="J17" s="21">
        <f t="shared" si="1"/>
        <v>0.16935483870967766</v>
      </c>
      <c r="K17" s="14">
        <v>3.92</v>
      </c>
      <c r="L17" s="25">
        <f t="shared" si="2"/>
        <v>3.9199999999999999E-3</v>
      </c>
      <c r="M17" s="26">
        <f t="shared" si="3"/>
        <v>43.202764976958591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7" t="s">
        <v>27</v>
      </c>
      <c r="B18" s="7">
        <v>21</v>
      </c>
      <c r="C18" s="8">
        <v>11.8</v>
      </c>
      <c r="D18" s="7">
        <v>132.69999999999999</v>
      </c>
      <c r="E18" s="12">
        <v>7.9</v>
      </c>
      <c r="F18" s="7">
        <v>92.7</v>
      </c>
      <c r="G18" s="7">
        <v>61</v>
      </c>
      <c r="H18" s="20">
        <f t="shared" si="0"/>
        <v>1.0166666666666666</v>
      </c>
      <c r="I18" s="13">
        <v>0.25</v>
      </c>
      <c r="J18" s="21">
        <f t="shared" si="1"/>
        <v>0.95901639344262313</v>
      </c>
      <c r="K18" s="14">
        <v>4.03</v>
      </c>
      <c r="L18" s="25">
        <f t="shared" si="2"/>
        <v>4.0300000000000006E-3</v>
      </c>
      <c r="M18" s="26">
        <f t="shared" si="3"/>
        <v>237.96932839767319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7" t="s">
        <v>27</v>
      </c>
      <c r="B19" s="7">
        <v>24</v>
      </c>
      <c r="C19" s="8">
        <v>10.1</v>
      </c>
      <c r="D19" s="7">
        <v>126.2</v>
      </c>
      <c r="E19" s="12">
        <v>9.65</v>
      </c>
      <c r="F19" s="7">
        <v>113.3</v>
      </c>
      <c r="G19" s="7">
        <v>60</v>
      </c>
      <c r="H19" s="20">
        <f t="shared" si="0"/>
        <v>1</v>
      </c>
      <c r="I19" s="13">
        <v>0.25</v>
      </c>
      <c r="J19" s="21">
        <f t="shared" si="1"/>
        <v>0.11249999999999982</v>
      </c>
      <c r="K19" s="14">
        <v>5.59</v>
      </c>
      <c r="L19" s="25">
        <f t="shared" si="2"/>
        <v>5.5899999999999995E-3</v>
      </c>
      <c r="M19" s="26">
        <f t="shared" si="3"/>
        <v>20.125223613595676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7" t="s">
        <v>27</v>
      </c>
      <c r="B20" s="7">
        <v>27</v>
      </c>
      <c r="C20" s="8">
        <v>8.99</v>
      </c>
      <c r="D20" s="7">
        <v>114</v>
      </c>
      <c r="E20" s="12">
        <v>8.61</v>
      </c>
      <c r="F20" s="7">
        <v>103.7</v>
      </c>
      <c r="G20" s="7">
        <v>58</v>
      </c>
      <c r="H20" s="20">
        <f t="shared" si="0"/>
        <v>0.96666666666666667</v>
      </c>
      <c r="I20" s="13">
        <v>0.25</v>
      </c>
      <c r="J20" s="21">
        <f t="shared" si="1"/>
        <v>9.8275862068965714E-2</v>
      </c>
      <c r="K20" s="14">
        <v>10.47</v>
      </c>
      <c r="L20" s="25">
        <f t="shared" si="2"/>
        <v>1.047E-2</v>
      </c>
      <c r="M20" s="26">
        <f t="shared" si="3"/>
        <v>9.3864242663768582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7" t="s">
        <v>27</v>
      </c>
      <c r="B21" s="7">
        <v>30</v>
      </c>
      <c r="C21" s="8">
        <v>8.15</v>
      </c>
      <c r="D21" s="7">
        <v>106.9</v>
      </c>
      <c r="E21" s="12">
        <v>9.1300000000000008</v>
      </c>
      <c r="F21" s="7">
        <v>105.2</v>
      </c>
      <c r="G21" s="7">
        <v>57</v>
      </c>
      <c r="H21" s="20">
        <f t="shared" si="0"/>
        <v>0.95</v>
      </c>
      <c r="I21" s="13">
        <v>0.25</v>
      </c>
      <c r="J21" s="21">
        <f t="shared" si="1"/>
        <v>-0.2578947368421054</v>
      </c>
      <c r="K21" s="7">
        <v>5.63</v>
      </c>
      <c r="L21" s="25">
        <f t="shared" si="2"/>
        <v>5.6299999999999996E-3</v>
      </c>
      <c r="M21" s="26">
        <f t="shared" si="3"/>
        <v>-45.807235673553357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7" t="s">
        <v>28</v>
      </c>
      <c r="B22" s="7">
        <v>15</v>
      </c>
      <c r="C22" s="8">
        <v>9.06</v>
      </c>
      <c r="D22" s="7">
        <v>98.6</v>
      </c>
      <c r="E22" s="12">
        <v>9</v>
      </c>
      <c r="F22" s="7">
        <v>96.7</v>
      </c>
      <c r="G22" s="7">
        <v>60</v>
      </c>
      <c r="H22" s="20">
        <f t="shared" si="0"/>
        <v>1</v>
      </c>
      <c r="I22" s="13">
        <v>0.25</v>
      </c>
      <c r="J22" s="21">
        <f t="shared" si="1"/>
        <v>1.5000000000000124E-2</v>
      </c>
      <c r="K22" s="7">
        <v>3.96</v>
      </c>
      <c r="L22" s="25">
        <f t="shared" si="2"/>
        <v>3.96E-3</v>
      </c>
      <c r="M22" s="26">
        <f t="shared" si="3"/>
        <v>3.7878787878788192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7" t="s">
        <v>28</v>
      </c>
      <c r="B23" s="7">
        <v>18</v>
      </c>
      <c r="C23" s="8">
        <v>8.41</v>
      </c>
      <c r="D23" s="7">
        <v>95.6</v>
      </c>
      <c r="E23" s="12">
        <v>5.13</v>
      </c>
      <c r="F23" s="7">
        <v>58.9</v>
      </c>
      <c r="G23" s="7">
        <v>60</v>
      </c>
      <c r="H23" s="20">
        <f t="shared" si="0"/>
        <v>1</v>
      </c>
      <c r="I23" s="13">
        <v>0.25</v>
      </c>
      <c r="J23" s="21">
        <f t="shared" si="1"/>
        <v>0.82000000000000006</v>
      </c>
      <c r="K23" s="7">
        <v>7.5</v>
      </c>
      <c r="L23" s="25">
        <f t="shared" si="2"/>
        <v>7.4999999999999997E-3</v>
      </c>
      <c r="M23" s="26">
        <f t="shared" si="3"/>
        <v>109.33333333333334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7" t="s">
        <v>28</v>
      </c>
      <c r="B24" s="7">
        <v>21</v>
      </c>
      <c r="C24" s="8">
        <v>8.09</v>
      </c>
      <c r="D24" s="7">
        <v>92.5</v>
      </c>
      <c r="E24" s="12">
        <v>4.75</v>
      </c>
      <c r="F24" s="7">
        <v>53.3</v>
      </c>
      <c r="G24" s="7">
        <v>60</v>
      </c>
      <c r="H24" s="20">
        <f t="shared" si="0"/>
        <v>1</v>
      </c>
      <c r="I24" s="13">
        <v>0.25</v>
      </c>
      <c r="J24" s="21">
        <f t="shared" si="1"/>
        <v>0.83499999999999996</v>
      </c>
      <c r="K24" s="7">
        <v>5.78</v>
      </c>
      <c r="L24" s="25">
        <f t="shared" si="2"/>
        <v>5.7800000000000004E-3</v>
      </c>
      <c r="M24" s="26">
        <f t="shared" si="3"/>
        <v>144.46366782006919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7" t="s">
        <v>28</v>
      </c>
      <c r="B25" s="7">
        <v>24</v>
      </c>
      <c r="C25" s="8">
        <v>8.0399999999999991</v>
      </c>
      <c r="D25" s="7">
        <v>94.4</v>
      </c>
      <c r="E25" s="12">
        <v>5.48</v>
      </c>
      <c r="F25" s="7">
        <v>63.4</v>
      </c>
      <c r="G25" s="7">
        <v>60</v>
      </c>
      <c r="H25" s="20">
        <f t="shared" si="0"/>
        <v>1</v>
      </c>
      <c r="I25" s="13">
        <v>0.25</v>
      </c>
      <c r="J25" s="21">
        <f t="shared" si="1"/>
        <v>0.63999999999999968</v>
      </c>
      <c r="K25" s="7">
        <v>5.62</v>
      </c>
      <c r="L25" s="25">
        <f t="shared" si="2"/>
        <v>5.62E-3</v>
      </c>
      <c r="M25" s="26">
        <f t="shared" si="3"/>
        <v>113.87900355871881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7" t="s">
        <v>28</v>
      </c>
      <c r="B26" s="7">
        <v>27</v>
      </c>
      <c r="C26" s="8">
        <v>7.24</v>
      </c>
      <c r="D26" s="7">
        <v>90.3</v>
      </c>
      <c r="E26" s="12">
        <v>4.46</v>
      </c>
      <c r="F26" s="7">
        <v>54.4</v>
      </c>
      <c r="G26" s="7">
        <v>60</v>
      </c>
      <c r="H26" s="20">
        <f t="shared" si="0"/>
        <v>1</v>
      </c>
      <c r="I26" s="13">
        <v>0.25</v>
      </c>
      <c r="J26" s="21">
        <f t="shared" si="1"/>
        <v>0.69500000000000006</v>
      </c>
      <c r="K26" s="7">
        <v>4.7300000000000004</v>
      </c>
      <c r="L26" s="25">
        <f t="shared" si="2"/>
        <v>4.7300000000000007E-3</v>
      </c>
      <c r="M26" s="26">
        <f t="shared" si="3"/>
        <v>146.93446088794926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7" t="s">
        <v>28</v>
      </c>
      <c r="B27" s="7">
        <v>30</v>
      </c>
      <c r="C27" s="8">
        <v>7.07</v>
      </c>
      <c r="D27" s="7">
        <v>90.1</v>
      </c>
      <c r="E27" s="12">
        <v>5.33</v>
      </c>
      <c r="F27" s="7">
        <v>67.7</v>
      </c>
      <c r="G27" s="7">
        <v>60</v>
      </c>
      <c r="H27" s="20">
        <f t="shared" si="0"/>
        <v>1</v>
      </c>
      <c r="I27" s="13">
        <v>0.25</v>
      </c>
      <c r="J27" s="21">
        <f t="shared" si="1"/>
        <v>0.43500000000000005</v>
      </c>
      <c r="K27" s="7">
        <v>5.61</v>
      </c>
      <c r="L27" s="25">
        <f t="shared" si="2"/>
        <v>5.6100000000000004E-3</v>
      </c>
      <c r="M27" s="26">
        <f t="shared" si="3"/>
        <v>77.540106951871664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7" t="s">
        <v>29</v>
      </c>
      <c r="B28" s="7">
        <v>15</v>
      </c>
      <c r="C28" s="8">
        <v>9.9</v>
      </c>
      <c r="D28" s="7">
        <v>103</v>
      </c>
      <c r="E28" s="12">
        <v>9.4</v>
      </c>
      <c r="F28" s="7">
        <v>103</v>
      </c>
      <c r="G28" s="7">
        <v>68</v>
      </c>
      <c r="H28" s="20">
        <f t="shared" si="0"/>
        <v>1.1333333333333333</v>
      </c>
      <c r="I28" s="13">
        <v>0.25</v>
      </c>
      <c r="J28" s="21">
        <f t="shared" si="1"/>
        <v>0.11029411764705882</v>
      </c>
      <c r="K28" s="7">
        <v>7.32</v>
      </c>
      <c r="L28" s="25">
        <f t="shared" si="2"/>
        <v>7.3200000000000001E-3</v>
      </c>
      <c r="M28" s="26">
        <f t="shared" si="3"/>
        <v>15.067502410800385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7" t="s">
        <v>29</v>
      </c>
      <c r="B29" s="7">
        <v>18</v>
      </c>
      <c r="C29" s="8">
        <v>9.09</v>
      </c>
      <c r="D29" s="7">
        <v>100</v>
      </c>
      <c r="E29" s="12">
        <v>6.23</v>
      </c>
      <c r="F29" s="7">
        <v>67.400000000000006</v>
      </c>
      <c r="G29" s="7">
        <v>65</v>
      </c>
      <c r="H29" s="20">
        <f t="shared" si="0"/>
        <v>1.0833333333333333</v>
      </c>
      <c r="I29" s="13">
        <v>0.25</v>
      </c>
      <c r="J29" s="21">
        <f t="shared" si="1"/>
        <v>0.65999999999999992</v>
      </c>
      <c r="K29" s="7">
        <v>7.06</v>
      </c>
      <c r="L29" s="25">
        <f t="shared" si="2"/>
        <v>7.0599999999999994E-3</v>
      </c>
      <c r="M29" s="26">
        <f t="shared" si="3"/>
        <v>93.48441926345609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7" t="s">
        <v>29</v>
      </c>
      <c r="B30" s="7">
        <v>21</v>
      </c>
      <c r="C30" s="8">
        <v>8.7200000000000006</v>
      </c>
      <c r="D30" s="7">
        <v>99</v>
      </c>
      <c r="E30" s="12">
        <v>3.87</v>
      </c>
      <c r="F30" s="7">
        <v>45.2</v>
      </c>
      <c r="G30" s="7">
        <v>63</v>
      </c>
      <c r="H30" s="20">
        <f t="shared" si="0"/>
        <v>1.05</v>
      </c>
      <c r="I30" s="13">
        <v>0.25</v>
      </c>
      <c r="J30" s="21">
        <f t="shared" si="1"/>
        <v>1.1547619047619049</v>
      </c>
      <c r="K30" s="7">
        <v>7.24</v>
      </c>
      <c r="L30" s="25">
        <f t="shared" si="2"/>
        <v>7.2399999999999999E-3</v>
      </c>
      <c r="M30" s="26">
        <f t="shared" si="3"/>
        <v>159.49750065772167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7" t="s">
        <v>29</v>
      </c>
      <c r="B31" s="7">
        <v>24</v>
      </c>
      <c r="C31" s="8">
        <v>8.33</v>
      </c>
      <c r="D31" s="7">
        <v>100.1</v>
      </c>
      <c r="E31" s="12">
        <v>6.17</v>
      </c>
      <c r="F31" s="7">
        <v>73.7</v>
      </c>
      <c r="G31" s="7">
        <v>60</v>
      </c>
      <c r="H31" s="20">
        <f t="shared" si="0"/>
        <v>1</v>
      </c>
      <c r="I31" s="13">
        <v>0.25</v>
      </c>
      <c r="J31" s="21">
        <f t="shared" si="1"/>
        <v>0.54</v>
      </c>
      <c r="K31" s="7">
        <v>8.66</v>
      </c>
      <c r="L31" s="25">
        <f t="shared" si="2"/>
        <v>8.6599999999999993E-3</v>
      </c>
      <c r="M31" s="26">
        <f t="shared" si="3"/>
        <v>62.355658198614329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7" t="s">
        <v>29</v>
      </c>
      <c r="B32" s="7">
        <v>27</v>
      </c>
      <c r="C32" s="8">
        <v>8.0399999999999991</v>
      </c>
      <c r="D32" s="7">
        <v>99.6</v>
      </c>
      <c r="E32" s="12">
        <v>2.4</v>
      </c>
      <c r="F32" s="7">
        <v>29.9</v>
      </c>
      <c r="G32" s="7">
        <v>60</v>
      </c>
      <c r="H32" s="20">
        <f t="shared" si="0"/>
        <v>1</v>
      </c>
      <c r="I32" s="13">
        <v>0.25</v>
      </c>
      <c r="J32" s="21">
        <f t="shared" si="1"/>
        <v>1.4099999999999997</v>
      </c>
      <c r="K32" s="7">
        <v>6.94</v>
      </c>
      <c r="L32" s="25">
        <f t="shared" si="2"/>
        <v>6.94E-3</v>
      </c>
      <c r="M32" s="26">
        <f t="shared" si="3"/>
        <v>203.17002881844377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7" t="s">
        <v>29</v>
      </c>
      <c r="B33" s="7">
        <v>30</v>
      </c>
      <c r="C33" s="8">
        <v>7.71</v>
      </c>
      <c r="D33" s="7">
        <v>100.21</v>
      </c>
      <c r="E33" s="12">
        <v>4.2300000000000004</v>
      </c>
      <c r="F33" s="7">
        <v>52.3</v>
      </c>
      <c r="G33" s="7">
        <v>64</v>
      </c>
      <c r="H33" s="20">
        <f t="shared" si="0"/>
        <v>1.0666666666666667</v>
      </c>
      <c r="I33" s="13">
        <v>0.25</v>
      </c>
      <c r="J33" s="21">
        <f t="shared" si="1"/>
        <v>0.81562499999999993</v>
      </c>
      <c r="K33" s="7">
        <v>4.8499999999999996</v>
      </c>
      <c r="L33" s="25">
        <f t="shared" si="2"/>
        <v>4.8499999999999993E-3</v>
      </c>
      <c r="M33" s="26">
        <f t="shared" si="3"/>
        <v>168.17010309278351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7" t="s">
        <v>30</v>
      </c>
      <c r="B34" s="7">
        <v>15</v>
      </c>
      <c r="C34" s="8">
        <v>10.14</v>
      </c>
      <c r="D34" s="7">
        <v>105</v>
      </c>
      <c r="E34" s="12">
        <v>9.1</v>
      </c>
      <c r="F34" s="7">
        <v>96.3</v>
      </c>
      <c r="G34" s="7">
        <v>62</v>
      </c>
      <c r="H34" s="20">
        <f t="shared" si="0"/>
        <v>1.0333333333333334</v>
      </c>
      <c r="I34" s="13">
        <v>0.25</v>
      </c>
      <c r="J34" s="21">
        <f t="shared" si="1"/>
        <v>0.25161290322580665</v>
      </c>
      <c r="K34" s="7">
        <v>6.6840000000000002</v>
      </c>
      <c r="L34" s="25">
        <f t="shared" si="2"/>
        <v>6.6839999999999998E-3</v>
      </c>
      <c r="M34" s="26">
        <f t="shared" si="3"/>
        <v>37.644060925464792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7" t="s">
        <v>30</v>
      </c>
      <c r="B35" s="7">
        <v>18</v>
      </c>
      <c r="C35" s="8">
        <v>9.07</v>
      </c>
      <c r="D35" s="7">
        <v>101.7</v>
      </c>
      <c r="E35" s="12"/>
      <c r="F35" s="7"/>
      <c r="G35" s="7">
        <v>60</v>
      </c>
      <c r="H35" s="20">
        <f t="shared" si="0"/>
        <v>1</v>
      </c>
      <c r="I35" s="13">
        <v>0.25</v>
      </c>
      <c r="J35" s="21">
        <f t="shared" si="1"/>
        <v>2.2675000000000001</v>
      </c>
      <c r="K35" s="7">
        <v>9.2569999999999997</v>
      </c>
      <c r="L35" s="25">
        <f t="shared" si="2"/>
        <v>9.2569999999999996E-3</v>
      </c>
      <c r="M35" s="26">
        <f t="shared" si="3"/>
        <v>244.9497677433294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7" t="s">
        <v>30</v>
      </c>
      <c r="B36" s="7">
        <v>21</v>
      </c>
      <c r="C36" s="8">
        <v>9.6300000000000008</v>
      </c>
      <c r="D36" s="7">
        <v>103.1</v>
      </c>
      <c r="E36" s="12">
        <v>6.12</v>
      </c>
      <c r="F36" s="7">
        <v>66.900000000000006</v>
      </c>
      <c r="G36" s="7">
        <v>58</v>
      </c>
      <c r="H36" s="20">
        <f t="shared" si="0"/>
        <v>0.96666666666666667</v>
      </c>
      <c r="I36" s="13">
        <v>0.25</v>
      </c>
      <c r="J36" s="21">
        <f t="shared" si="1"/>
        <v>0.90775862068965529</v>
      </c>
      <c r="K36" s="7">
        <v>6.9729999999999999</v>
      </c>
      <c r="L36" s="25">
        <f t="shared" si="2"/>
        <v>6.973E-3</v>
      </c>
      <c r="M36" s="26">
        <f t="shared" si="3"/>
        <v>130.18193326970533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x14ac:dyDescent="0.25">
      <c r="A37" s="7" t="s">
        <v>30</v>
      </c>
      <c r="B37" s="7">
        <v>24</v>
      </c>
      <c r="C37" s="8">
        <v>9.36</v>
      </c>
      <c r="D37" s="7">
        <v>104.3</v>
      </c>
      <c r="E37" s="12">
        <v>4.8499999999999996</v>
      </c>
      <c r="F37" s="7">
        <v>56.6</v>
      </c>
      <c r="G37" s="7">
        <v>62</v>
      </c>
      <c r="H37" s="20">
        <f t="shared" si="0"/>
        <v>1.0333333333333334</v>
      </c>
      <c r="I37" s="13">
        <v>0.25</v>
      </c>
      <c r="J37" s="21">
        <f t="shared" si="1"/>
        <v>1.0911290322580645</v>
      </c>
      <c r="K37" s="7">
        <v>6.657</v>
      </c>
      <c r="L37" s="25">
        <f t="shared" si="2"/>
        <v>6.6569999999999997E-3</v>
      </c>
      <c r="M37" s="26">
        <f t="shared" si="3"/>
        <v>163.90702001773539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x14ac:dyDescent="0.25">
      <c r="A38" s="7" t="s">
        <v>30</v>
      </c>
      <c r="B38" s="7">
        <v>27</v>
      </c>
      <c r="C38" s="8">
        <v>8.07</v>
      </c>
      <c r="D38" s="7">
        <v>96.2</v>
      </c>
      <c r="E38" s="12">
        <v>8.4700000000000006</v>
      </c>
      <c r="F38" s="7">
        <v>86.6</v>
      </c>
      <c r="G38" s="7">
        <v>61</v>
      </c>
      <c r="H38" s="20">
        <f t="shared" ref="H38:H93" si="4">G38/60</f>
        <v>1.0166666666666666</v>
      </c>
      <c r="I38" s="13">
        <v>0.25</v>
      </c>
      <c r="J38" s="21">
        <f t="shared" si="1"/>
        <v>-9.8360655737705013E-2</v>
      </c>
      <c r="K38" s="7">
        <v>6.3959999999999999</v>
      </c>
      <c r="L38" s="25">
        <f t="shared" si="2"/>
        <v>6.3959999999999998E-3</v>
      </c>
      <c r="M38" s="26">
        <f t="shared" si="3"/>
        <v>-15.378463999015795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x14ac:dyDescent="0.25">
      <c r="A39" s="7" t="s">
        <v>30</v>
      </c>
      <c r="B39" s="7">
        <v>30</v>
      </c>
      <c r="C39" s="8">
        <v>7.66</v>
      </c>
      <c r="D39" s="7">
        <v>98.4</v>
      </c>
      <c r="E39" s="12">
        <v>5.93</v>
      </c>
      <c r="F39" s="7">
        <v>72.5</v>
      </c>
      <c r="G39" s="15">
        <v>57</v>
      </c>
      <c r="H39" s="20">
        <f t="shared" si="4"/>
        <v>0.95</v>
      </c>
      <c r="I39" s="13">
        <v>0.25</v>
      </c>
      <c r="J39" s="21">
        <f t="shared" si="1"/>
        <v>0.45526315789473698</v>
      </c>
      <c r="K39" s="7">
        <v>6.8529999999999998</v>
      </c>
      <c r="L39" s="25">
        <f t="shared" si="2"/>
        <v>6.8529999999999997E-3</v>
      </c>
      <c r="M39" s="26">
        <f t="shared" si="3"/>
        <v>66.432680270645989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x14ac:dyDescent="0.25">
      <c r="A40" s="7" t="s">
        <v>36</v>
      </c>
      <c r="B40" s="7">
        <v>15</v>
      </c>
      <c r="C40" s="16">
        <v>9.9499999999999993</v>
      </c>
      <c r="D40" s="1">
        <v>100.2</v>
      </c>
      <c r="E40" s="12">
        <v>7.45</v>
      </c>
      <c r="F40" s="7">
        <v>81.5</v>
      </c>
      <c r="G40" s="7">
        <v>61</v>
      </c>
      <c r="H40" s="20">
        <f t="shared" si="4"/>
        <v>1.0166666666666666</v>
      </c>
      <c r="I40" s="13">
        <v>0.25</v>
      </c>
      <c r="J40" s="21">
        <f t="shared" si="1"/>
        <v>0.61475409836065553</v>
      </c>
      <c r="K40" s="7">
        <v>5.45</v>
      </c>
      <c r="L40" s="25">
        <f t="shared" si="2"/>
        <v>5.45E-3</v>
      </c>
      <c r="M40" s="26">
        <f t="shared" si="3"/>
        <v>112.79891713039551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x14ac:dyDescent="0.25">
      <c r="A41" s="7" t="s">
        <v>36</v>
      </c>
      <c r="B41" s="7">
        <v>18</v>
      </c>
      <c r="C41" s="16">
        <v>9.4499999999999993</v>
      </c>
      <c r="D41" s="1">
        <v>104.4</v>
      </c>
      <c r="E41" s="12">
        <v>6</v>
      </c>
      <c r="F41" s="7">
        <v>65.900000000000006</v>
      </c>
      <c r="G41" s="7">
        <v>70</v>
      </c>
      <c r="H41" s="20">
        <f t="shared" si="4"/>
        <v>1.1666666666666667</v>
      </c>
      <c r="I41" s="13">
        <v>0.25</v>
      </c>
      <c r="J41" s="21">
        <f t="shared" si="1"/>
        <v>0.7392857142857141</v>
      </c>
      <c r="K41" s="7">
        <v>7.32</v>
      </c>
      <c r="L41" s="25">
        <f t="shared" si="2"/>
        <v>7.3200000000000001E-3</v>
      </c>
      <c r="M41" s="26">
        <f t="shared" si="3"/>
        <v>100.99531615925056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x14ac:dyDescent="0.25">
      <c r="A42" s="7" t="s">
        <v>36</v>
      </c>
      <c r="B42" s="7">
        <v>21</v>
      </c>
      <c r="C42" s="16">
        <v>8.68</v>
      </c>
      <c r="D42" s="1">
        <v>98.8</v>
      </c>
      <c r="E42" s="12">
        <v>5.78</v>
      </c>
      <c r="F42" s="7">
        <v>65.599999999999994</v>
      </c>
      <c r="G42" s="7">
        <v>68</v>
      </c>
      <c r="H42" s="20">
        <f t="shared" si="4"/>
        <v>1.1333333333333333</v>
      </c>
      <c r="I42" s="13">
        <v>0.25</v>
      </c>
      <c r="J42" s="21">
        <f t="shared" si="1"/>
        <v>0.63970588235294112</v>
      </c>
      <c r="K42" s="7">
        <v>4.6500000000000004</v>
      </c>
      <c r="L42" s="25">
        <f t="shared" si="2"/>
        <v>4.6500000000000005E-3</v>
      </c>
      <c r="M42" s="26">
        <f t="shared" si="3"/>
        <v>137.57115749525613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x14ac:dyDescent="0.25">
      <c r="A43" s="7" t="s">
        <v>36</v>
      </c>
      <c r="B43" s="7">
        <v>24</v>
      </c>
      <c r="C43" s="16">
        <v>8.1300000000000008</v>
      </c>
      <c r="D43" s="1">
        <v>94.6</v>
      </c>
      <c r="E43" s="12">
        <v>4.0199999999999996</v>
      </c>
      <c r="F43" s="7">
        <v>46.8</v>
      </c>
      <c r="G43" s="7">
        <v>71</v>
      </c>
      <c r="H43" s="20">
        <f t="shared" si="4"/>
        <v>1.1833333333333333</v>
      </c>
      <c r="I43" s="13">
        <v>0.25</v>
      </c>
      <c r="J43" s="21">
        <f t="shared" si="1"/>
        <v>0.86830985915492986</v>
      </c>
      <c r="K43" s="7">
        <v>5.25</v>
      </c>
      <c r="L43" s="25">
        <f t="shared" si="2"/>
        <v>5.2500000000000003E-3</v>
      </c>
      <c r="M43" s="26">
        <f t="shared" si="3"/>
        <v>165.39235412474852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x14ac:dyDescent="0.25">
      <c r="A44" s="7" t="s">
        <v>36</v>
      </c>
      <c r="B44" s="7">
        <v>27</v>
      </c>
      <c r="C44" s="16">
        <v>7.51</v>
      </c>
      <c r="D44" s="1">
        <v>93.6</v>
      </c>
      <c r="E44" s="12">
        <v>4</v>
      </c>
      <c r="F44" s="7">
        <v>47.9</v>
      </c>
      <c r="G44" s="7">
        <v>65</v>
      </c>
      <c r="H44" s="20">
        <f t="shared" si="4"/>
        <v>1.0833333333333333</v>
      </c>
      <c r="I44" s="13">
        <v>0.25</v>
      </c>
      <c r="J44" s="21">
        <f t="shared" si="1"/>
        <v>0.81</v>
      </c>
      <c r="K44" s="7">
        <v>8.73</v>
      </c>
      <c r="L44" s="25">
        <f t="shared" si="2"/>
        <v>8.7299999999999999E-3</v>
      </c>
      <c r="M44" s="26">
        <f t="shared" si="3"/>
        <v>92.783505154639187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x14ac:dyDescent="0.25">
      <c r="A45" s="7" t="s">
        <v>36</v>
      </c>
      <c r="B45" s="7">
        <v>30</v>
      </c>
      <c r="C45" s="16">
        <v>7.2</v>
      </c>
      <c r="D45" s="1">
        <v>94.9</v>
      </c>
      <c r="E45" s="12">
        <v>1.34</v>
      </c>
      <c r="F45" s="7">
        <v>16.8</v>
      </c>
      <c r="G45" s="7">
        <v>63</v>
      </c>
      <c r="H45" s="20">
        <f t="shared" si="4"/>
        <v>1.05</v>
      </c>
      <c r="I45" s="13">
        <v>0.25</v>
      </c>
      <c r="J45" s="21">
        <f t="shared" si="1"/>
        <v>1.3952380952380952</v>
      </c>
      <c r="K45" s="7">
        <v>5.55</v>
      </c>
      <c r="L45" s="25">
        <f t="shared" si="2"/>
        <v>5.5500000000000002E-3</v>
      </c>
      <c r="M45" s="26">
        <f t="shared" si="3"/>
        <v>251.39425139425137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x14ac:dyDescent="0.25">
      <c r="A46" s="7" t="s">
        <v>37</v>
      </c>
      <c r="B46" s="7">
        <v>15</v>
      </c>
      <c r="C46" s="8">
        <v>9.4700000000000006</v>
      </c>
      <c r="D46" s="7">
        <v>97.4</v>
      </c>
      <c r="E46" s="12">
        <v>8.1199999999999992</v>
      </c>
      <c r="F46" s="7">
        <v>97.3</v>
      </c>
      <c r="G46" s="7">
        <v>64</v>
      </c>
      <c r="H46" s="20">
        <f t="shared" si="4"/>
        <v>1.0666666666666667</v>
      </c>
      <c r="I46" s="13">
        <v>0.25</v>
      </c>
      <c r="J46" s="21">
        <f t="shared" si="1"/>
        <v>0.31640625000000033</v>
      </c>
      <c r="K46" s="7">
        <v>5.2549999999999999</v>
      </c>
      <c r="L46" s="25">
        <f t="shared" si="2"/>
        <v>5.2550000000000001E-3</v>
      </c>
      <c r="M46" s="26">
        <f t="shared" si="3"/>
        <v>60.210513796384461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x14ac:dyDescent="0.25">
      <c r="A47" s="7" t="s">
        <v>37</v>
      </c>
      <c r="B47" s="7">
        <v>18</v>
      </c>
      <c r="C47" s="8">
        <v>8.5</v>
      </c>
      <c r="D47" s="7">
        <v>99.3</v>
      </c>
      <c r="E47" s="12">
        <v>7.36</v>
      </c>
      <c r="F47" s="7">
        <v>84.4</v>
      </c>
      <c r="G47" s="7">
        <v>62</v>
      </c>
      <c r="H47" s="20">
        <f t="shared" si="4"/>
        <v>1.0333333333333334</v>
      </c>
      <c r="I47" s="13">
        <v>0.25</v>
      </c>
      <c r="J47" s="21">
        <f t="shared" si="1"/>
        <v>0.27580645161290313</v>
      </c>
      <c r="K47" s="7">
        <v>4.9379999999999997</v>
      </c>
      <c r="L47" s="25">
        <f t="shared" si="2"/>
        <v>4.9379999999999997E-3</v>
      </c>
      <c r="M47" s="26">
        <f t="shared" si="3"/>
        <v>55.85387841492571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x14ac:dyDescent="0.25">
      <c r="A48" s="7" t="s">
        <v>37</v>
      </c>
      <c r="B48" s="7">
        <v>21</v>
      </c>
      <c r="C48" s="8">
        <v>7.99</v>
      </c>
      <c r="D48" s="7">
        <v>95.8</v>
      </c>
      <c r="E48" s="12">
        <v>6.6</v>
      </c>
      <c r="F48" s="7">
        <v>79.900000000000006</v>
      </c>
      <c r="G48" s="7">
        <v>64</v>
      </c>
      <c r="H48" s="20">
        <f t="shared" si="4"/>
        <v>1.0666666666666667</v>
      </c>
      <c r="I48" s="13">
        <v>0.25</v>
      </c>
      <c r="J48" s="21">
        <f t="shared" si="1"/>
        <v>0.32578125000000013</v>
      </c>
      <c r="K48" s="7">
        <v>4.8730000000000002</v>
      </c>
      <c r="L48" s="25">
        <f t="shared" si="2"/>
        <v>4.8730000000000006E-3</v>
      </c>
      <c r="M48" s="26">
        <f t="shared" si="3"/>
        <v>66.854350502770387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x14ac:dyDescent="0.25">
      <c r="A49" s="7" t="s">
        <v>37</v>
      </c>
      <c r="B49" s="7">
        <v>24</v>
      </c>
      <c r="C49" s="8">
        <v>7.96</v>
      </c>
      <c r="D49" s="7">
        <v>96.7</v>
      </c>
      <c r="E49" s="12">
        <v>4.92</v>
      </c>
      <c r="F49" s="7">
        <v>58.8</v>
      </c>
      <c r="G49" s="7">
        <v>63</v>
      </c>
      <c r="H49" s="20">
        <f t="shared" si="4"/>
        <v>1.05</v>
      </c>
      <c r="I49" s="13">
        <v>0.25</v>
      </c>
      <c r="J49" s="21">
        <f t="shared" si="1"/>
        <v>0.72380952380952379</v>
      </c>
      <c r="K49" s="7">
        <v>4.25</v>
      </c>
      <c r="L49" s="25">
        <f t="shared" si="2"/>
        <v>4.2500000000000003E-3</v>
      </c>
      <c r="M49" s="26">
        <f t="shared" si="3"/>
        <v>170.30812324929971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x14ac:dyDescent="0.25">
      <c r="A50" s="7" t="s">
        <v>37</v>
      </c>
      <c r="B50" s="7">
        <v>27</v>
      </c>
      <c r="C50" s="8">
        <v>7.23</v>
      </c>
      <c r="D50" s="7">
        <v>94.4</v>
      </c>
      <c r="E50" s="12">
        <v>4.3</v>
      </c>
      <c r="F50" s="7">
        <v>51.2</v>
      </c>
      <c r="G50" s="7">
        <v>62</v>
      </c>
      <c r="H50" s="20">
        <f t="shared" si="4"/>
        <v>1.0333333333333334</v>
      </c>
      <c r="I50" s="13">
        <v>0.25</v>
      </c>
      <c r="J50" s="21">
        <f t="shared" si="1"/>
        <v>0.70887096774193559</v>
      </c>
      <c r="K50" s="7">
        <v>7.2670000000000003</v>
      </c>
      <c r="L50" s="25">
        <f t="shared" si="2"/>
        <v>7.267E-3</v>
      </c>
      <c r="M50" s="26">
        <f t="shared" si="3"/>
        <v>97.546575993110721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x14ac:dyDescent="0.25">
      <c r="A51" s="7" t="s">
        <v>37</v>
      </c>
      <c r="B51" s="7">
        <v>30</v>
      </c>
      <c r="C51" s="8">
        <v>6.88</v>
      </c>
      <c r="D51" s="7">
        <v>91.2</v>
      </c>
      <c r="E51" s="12">
        <v>4.4400000000000004</v>
      </c>
      <c r="F51" s="7">
        <v>55.8</v>
      </c>
      <c r="G51" s="7">
        <v>62</v>
      </c>
      <c r="H51" s="20">
        <f t="shared" si="4"/>
        <v>1.0333333333333334</v>
      </c>
      <c r="I51" s="13">
        <v>0.25</v>
      </c>
      <c r="J51" s="21">
        <f t="shared" si="1"/>
        <v>0.59032258064516108</v>
      </c>
      <c r="K51" s="7">
        <v>5.15</v>
      </c>
      <c r="L51" s="25">
        <f t="shared" si="2"/>
        <v>5.1500000000000001E-3</v>
      </c>
      <c r="M51" s="26">
        <f t="shared" si="3"/>
        <v>114.62574381459439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x14ac:dyDescent="0.25">
      <c r="A52" s="1" t="s">
        <v>39</v>
      </c>
      <c r="B52" s="1">
        <v>15</v>
      </c>
      <c r="C52" s="8">
        <v>9.9499999999999993</v>
      </c>
      <c r="D52" s="1">
        <v>100.2</v>
      </c>
      <c r="E52" s="12">
        <v>8.8000000000000007</v>
      </c>
      <c r="F52" s="1">
        <v>97.9</v>
      </c>
      <c r="G52" s="1">
        <v>55</v>
      </c>
      <c r="H52" s="20">
        <f t="shared" si="4"/>
        <v>0.91666666666666663</v>
      </c>
      <c r="I52" s="13">
        <v>0.25</v>
      </c>
      <c r="J52" s="21">
        <f t="shared" si="1"/>
        <v>0.31363636363636327</v>
      </c>
      <c r="K52" s="1">
        <v>4.07</v>
      </c>
      <c r="L52" s="25">
        <f t="shared" si="2"/>
        <v>4.0700000000000007E-3</v>
      </c>
      <c r="M52" s="26">
        <f t="shared" si="3"/>
        <v>77.060531605986043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x14ac:dyDescent="0.25">
      <c r="A53" s="1" t="s">
        <v>39</v>
      </c>
      <c r="B53" s="1">
        <v>18</v>
      </c>
      <c r="C53" s="8">
        <v>9.4499999999999993</v>
      </c>
      <c r="D53" s="1">
        <v>104.4</v>
      </c>
      <c r="E53" s="12">
        <v>7.63</v>
      </c>
      <c r="F53" s="1">
        <v>79.400000000000006</v>
      </c>
      <c r="G53" s="1">
        <v>60</v>
      </c>
      <c r="H53" s="20">
        <f t="shared" si="4"/>
        <v>1</v>
      </c>
      <c r="I53" s="13">
        <v>0.25</v>
      </c>
      <c r="J53" s="21">
        <f t="shared" si="1"/>
        <v>0.45499999999999985</v>
      </c>
      <c r="K53" s="1">
        <v>4.76</v>
      </c>
      <c r="L53" s="25">
        <f t="shared" si="2"/>
        <v>4.7599999999999995E-3</v>
      </c>
      <c r="M53" s="26">
        <f t="shared" si="3"/>
        <v>95.588235294117624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x14ac:dyDescent="0.25">
      <c r="A54" s="1" t="s">
        <v>39</v>
      </c>
      <c r="B54" s="1">
        <v>21</v>
      </c>
      <c r="C54" s="8">
        <v>8.68</v>
      </c>
      <c r="D54" s="1">
        <v>98.8</v>
      </c>
      <c r="E54" s="12">
        <v>6.63</v>
      </c>
      <c r="F54" s="1">
        <v>76.2</v>
      </c>
      <c r="G54" s="1">
        <v>62</v>
      </c>
      <c r="H54" s="20">
        <f t="shared" si="4"/>
        <v>1.0333333333333334</v>
      </c>
      <c r="I54" s="13">
        <v>0.25</v>
      </c>
      <c r="J54" s="21">
        <f t="shared" si="1"/>
        <v>0.49596774193548376</v>
      </c>
      <c r="K54" s="1">
        <v>7.16</v>
      </c>
      <c r="L54" s="25">
        <f t="shared" si="2"/>
        <v>7.1600000000000006E-3</v>
      </c>
      <c r="M54" s="26">
        <f t="shared" si="3"/>
        <v>69.269237700486556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x14ac:dyDescent="0.25">
      <c r="A55" s="1" t="s">
        <v>39</v>
      </c>
      <c r="B55" s="1">
        <v>24</v>
      </c>
      <c r="C55" s="8">
        <v>8.1300000000000008</v>
      </c>
      <c r="D55" s="1">
        <v>94.6</v>
      </c>
      <c r="E55" s="12">
        <v>4.45</v>
      </c>
      <c r="F55" s="1">
        <v>53.9</v>
      </c>
      <c r="G55" s="1">
        <v>60</v>
      </c>
      <c r="H55" s="20">
        <f t="shared" si="4"/>
        <v>1</v>
      </c>
      <c r="I55" s="13">
        <v>0.25</v>
      </c>
      <c r="J55" s="21">
        <f t="shared" si="1"/>
        <v>0.92000000000000015</v>
      </c>
      <c r="K55" s="1">
        <v>8.4670000000000005</v>
      </c>
      <c r="L55" s="25">
        <f t="shared" si="2"/>
        <v>8.4670000000000006E-3</v>
      </c>
      <c r="M55" s="26">
        <f t="shared" si="3"/>
        <v>108.65713948269754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x14ac:dyDescent="0.25">
      <c r="A56" s="1" t="s">
        <v>39</v>
      </c>
      <c r="B56" s="1">
        <v>27</v>
      </c>
      <c r="C56" s="8">
        <v>7.51</v>
      </c>
      <c r="D56" s="1">
        <v>93.6</v>
      </c>
      <c r="E56" s="12">
        <v>5.46</v>
      </c>
      <c r="F56" s="1">
        <v>60.7</v>
      </c>
      <c r="G56" s="1">
        <v>62</v>
      </c>
      <c r="H56" s="20">
        <f t="shared" si="4"/>
        <v>1.0333333333333334</v>
      </c>
      <c r="I56" s="13">
        <v>0.25</v>
      </c>
      <c r="J56" s="21">
        <f t="shared" si="1"/>
        <v>0.49596774193548376</v>
      </c>
      <c r="K56" s="1">
        <v>6.02</v>
      </c>
      <c r="L56" s="25">
        <f t="shared" si="2"/>
        <v>6.0199999999999993E-3</v>
      </c>
      <c r="M56" s="26">
        <f t="shared" si="3"/>
        <v>82.386668095595326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x14ac:dyDescent="0.25">
      <c r="A57" s="1" t="s">
        <v>39</v>
      </c>
      <c r="B57" s="1">
        <v>30</v>
      </c>
      <c r="C57" s="8">
        <v>7.2</v>
      </c>
      <c r="D57" s="1">
        <v>94.9</v>
      </c>
      <c r="E57" s="12">
        <v>4.6399999999999997</v>
      </c>
      <c r="F57" s="1">
        <v>58.5</v>
      </c>
      <c r="G57" s="1">
        <v>63</v>
      </c>
      <c r="H57" s="20">
        <f t="shared" si="4"/>
        <v>1.05</v>
      </c>
      <c r="I57" s="13">
        <v>0.25</v>
      </c>
      <c r="J57" s="21">
        <f t="shared" si="1"/>
        <v>0.60952380952380958</v>
      </c>
      <c r="K57" s="1">
        <v>6.36</v>
      </c>
      <c r="L57" s="25">
        <f t="shared" si="2"/>
        <v>6.3600000000000002E-3</v>
      </c>
      <c r="M57" s="26">
        <f t="shared" si="3"/>
        <v>95.837076969152449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x14ac:dyDescent="0.25">
      <c r="A58" s="1" t="s">
        <v>40</v>
      </c>
      <c r="B58" s="1">
        <v>15</v>
      </c>
      <c r="C58" s="8">
        <v>8.67</v>
      </c>
      <c r="D58" s="1">
        <v>95</v>
      </c>
      <c r="E58" s="12">
        <v>7.59</v>
      </c>
      <c r="F58" s="1">
        <v>84.1</v>
      </c>
      <c r="G58" s="1">
        <v>60</v>
      </c>
      <c r="H58" s="20">
        <f t="shared" si="4"/>
        <v>1</v>
      </c>
      <c r="I58" s="13">
        <v>0.25</v>
      </c>
      <c r="J58" s="21">
        <f t="shared" si="1"/>
        <v>0.27</v>
      </c>
      <c r="K58" s="1">
        <v>6.99</v>
      </c>
      <c r="L58" s="25">
        <f t="shared" si="2"/>
        <v>6.9900000000000006E-3</v>
      </c>
      <c r="M58" s="26">
        <f t="shared" si="3"/>
        <v>38.626609442060087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x14ac:dyDescent="0.25">
      <c r="A59" s="1" t="s">
        <v>40</v>
      </c>
      <c r="B59" s="1">
        <v>18</v>
      </c>
      <c r="C59" s="8">
        <v>8.77</v>
      </c>
      <c r="D59" s="1">
        <v>96.8</v>
      </c>
      <c r="E59" s="12">
        <v>7.54</v>
      </c>
      <c r="F59" s="1">
        <v>79.8</v>
      </c>
      <c r="G59" s="1">
        <v>60</v>
      </c>
      <c r="H59" s="20">
        <f t="shared" si="4"/>
        <v>1</v>
      </c>
      <c r="I59" s="13">
        <v>0.25</v>
      </c>
      <c r="J59" s="21">
        <f t="shared" si="1"/>
        <v>0.30749999999999988</v>
      </c>
      <c r="K59" s="1">
        <v>4.33</v>
      </c>
      <c r="L59" s="25">
        <f t="shared" si="2"/>
        <v>4.3299999999999996E-3</v>
      </c>
      <c r="M59" s="26">
        <f t="shared" si="3"/>
        <v>71.016166281755176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x14ac:dyDescent="0.25">
      <c r="A60" s="1" t="s">
        <v>40</v>
      </c>
      <c r="B60" s="1">
        <v>21</v>
      </c>
      <c r="C60" s="8">
        <v>8.16</v>
      </c>
      <c r="D60" s="1">
        <v>95</v>
      </c>
      <c r="E60" s="12">
        <v>6.89</v>
      </c>
      <c r="F60" s="1">
        <v>92.2</v>
      </c>
      <c r="G60" s="1">
        <v>60</v>
      </c>
      <c r="H60" s="20">
        <f t="shared" si="4"/>
        <v>1</v>
      </c>
      <c r="I60" s="13">
        <v>0.25</v>
      </c>
      <c r="J60" s="21">
        <f t="shared" si="1"/>
        <v>0.31750000000000012</v>
      </c>
      <c r="K60" s="1">
        <v>4.68</v>
      </c>
      <c r="L60" s="25">
        <f t="shared" si="2"/>
        <v>4.6800000000000001E-3</v>
      </c>
      <c r="M60" s="26">
        <f t="shared" si="3"/>
        <v>67.841880341880369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x14ac:dyDescent="0.25">
      <c r="A61" s="1" t="s">
        <v>40</v>
      </c>
      <c r="B61" s="1">
        <v>24</v>
      </c>
      <c r="C61" s="8">
        <v>7.87</v>
      </c>
      <c r="D61" s="1">
        <v>93.4</v>
      </c>
      <c r="E61" s="12">
        <v>8.02</v>
      </c>
      <c r="F61" s="1">
        <v>61.3</v>
      </c>
      <c r="G61" s="1">
        <v>60</v>
      </c>
      <c r="H61" s="20">
        <f t="shared" si="4"/>
        <v>1</v>
      </c>
      <c r="I61" s="13">
        <v>0.25</v>
      </c>
      <c r="J61" s="21">
        <f t="shared" si="1"/>
        <v>-3.7499999999999867E-2</v>
      </c>
      <c r="K61" s="1">
        <v>4.7300000000000004</v>
      </c>
      <c r="L61" s="25">
        <f t="shared" si="2"/>
        <v>4.7300000000000007E-3</v>
      </c>
      <c r="M61" s="26">
        <f t="shared" si="3"/>
        <v>-7.9281183932346426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x14ac:dyDescent="0.25">
      <c r="A62" s="1" t="s">
        <v>40</v>
      </c>
      <c r="B62" s="1">
        <v>27</v>
      </c>
      <c r="C62" s="8">
        <v>7.5</v>
      </c>
      <c r="D62" s="1">
        <v>97.5</v>
      </c>
      <c r="E62" s="12">
        <v>5.05</v>
      </c>
      <c r="F62" s="1">
        <v>33.9</v>
      </c>
      <c r="G62" s="1">
        <v>60</v>
      </c>
      <c r="H62" s="20">
        <f t="shared" si="4"/>
        <v>1</v>
      </c>
      <c r="I62" s="13">
        <v>0.25</v>
      </c>
      <c r="J62" s="21">
        <f t="shared" si="1"/>
        <v>0.61250000000000004</v>
      </c>
      <c r="K62" s="1">
        <v>3.95</v>
      </c>
      <c r="L62" s="25">
        <f t="shared" si="2"/>
        <v>3.9500000000000004E-3</v>
      </c>
      <c r="M62" s="26">
        <f t="shared" si="3"/>
        <v>155.0632911392405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x14ac:dyDescent="0.25">
      <c r="A63" s="1" t="s">
        <v>40</v>
      </c>
      <c r="B63" s="1">
        <v>30</v>
      </c>
      <c r="C63" s="8">
        <v>7.48</v>
      </c>
      <c r="D63" s="1">
        <v>95</v>
      </c>
      <c r="E63" s="12">
        <v>2.79</v>
      </c>
      <c r="F63" s="1">
        <v>90.9</v>
      </c>
      <c r="G63" s="1">
        <v>60</v>
      </c>
      <c r="H63" s="20">
        <f t="shared" si="4"/>
        <v>1</v>
      </c>
      <c r="I63" s="13">
        <v>0.25</v>
      </c>
      <c r="J63" s="21">
        <f t="shared" si="1"/>
        <v>1.1725000000000001</v>
      </c>
      <c r="K63" s="1">
        <v>3.19</v>
      </c>
      <c r="L63" s="25">
        <f t="shared" si="2"/>
        <v>3.1900000000000001E-3</v>
      </c>
      <c r="M63" s="26">
        <f t="shared" si="3"/>
        <v>367.55485893416932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x14ac:dyDescent="0.25">
      <c r="A64" s="1" t="s">
        <v>42</v>
      </c>
      <c r="B64" s="1">
        <v>15</v>
      </c>
      <c r="C64" s="8">
        <v>8.77</v>
      </c>
      <c r="D64" s="1">
        <v>96.8</v>
      </c>
      <c r="E64" s="12">
        <v>7.54</v>
      </c>
      <c r="F64" s="1">
        <v>84.1</v>
      </c>
      <c r="G64" s="1">
        <v>59</v>
      </c>
      <c r="H64" s="20">
        <f t="shared" si="4"/>
        <v>0.98333333333333328</v>
      </c>
      <c r="I64" s="13">
        <v>0.25</v>
      </c>
      <c r="J64" s="21">
        <f t="shared" si="1"/>
        <v>0.31271186440677956</v>
      </c>
      <c r="K64" s="1">
        <v>5.03</v>
      </c>
      <c r="L64" s="25">
        <f t="shared" si="2"/>
        <v>5.0300000000000006E-3</v>
      </c>
      <c r="M64" s="26">
        <f t="shared" si="3"/>
        <v>62.169356740910445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x14ac:dyDescent="0.25">
      <c r="A65" s="1" t="s">
        <v>42</v>
      </c>
      <c r="B65" s="1">
        <v>18</v>
      </c>
      <c r="C65" s="8">
        <v>8.77</v>
      </c>
      <c r="D65" s="1">
        <v>96.8</v>
      </c>
      <c r="E65" s="12">
        <v>7.78</v>
      </c>
      <c r="F65" s="1">
        <v>86.9</v>
      </c>
      <c r="G65" s="1">
        <v>59</v>
      </c>
      <c r="H65" s="20">
        <f t="shared" si="4"/>
        <v>0.98333333333333328</v>
      </c>
      <c r="I65" s="13">
        <v>0.25</v>
      </c>
      <c r="J65" s="21">
        <f t="shared" si="1"/>
        <v>0.25169491525423715</v>
      </c>
      <c r="K65" s="1">
        <v>10.14</v>
      </c>
      <c r="L65" s="25">
        <f t="shared" si="2"/>
        <v>1.014E-2</v>
      </c>
      <c r="M65" s="26">
        <f t="shared" si="3"/>
        <v>24.821983752883348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x14ac:dyDescent="0.25">
      <c r="A66" s="1" t="s">
        <v>42</v>
      </c>
      <c r="B66" s="1">
        <v>21</v>
      </c>
      <c r="C66" s="8">
        <v>8.58</v>
      </c>
      <c r="D66" s="1">
        <v>97.6</v>
      </c>
      <c r="E66" s="12">
        <v>5.17</v>
      </c>
      <c r="F66" s="1">
        <v>59</v>
      </c>
      <c r="G66" s="1">
        <v>64</v>
      </c>
      <c r="H66" s="20">
        <f t="shared" si="4"/>
        <v>1.0666666666666667</v>
      </c>
      <c r="I66" s="13">
        <v>0.25</v>
      </c>
      <c r="J66" s="21">
        <f t="shared" si="1"/>
        <v>0.79921875000000009</v>
      </c>
      <c r="K66" s="1">
        <v>8.27</v>
      </c>
      <c r="L66" s="25">
        <f t="shared" si="2"/>
        <v>8.2699999999999996E-3</v>
      </c>
      <c r="M66" s="26">
        <f t="shared" si="3"/>
        <v>96.640719467956487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x14ac:dyDescent="0.25">
      <c r="A67" s="1" t="s">
        <v>42</v>
      </c>
      <c r="B67" s="1">
        <v>24</v>
      </c>
      <c r="C67" s="8">
        <v>7.02</v>
      </c>
      <c r="D67" s="1">
        <v>81.8</v>
      </c>
      <c r="E67" s="12">
        <v>3.73</v>
      </c>
      <c r="F67" s="1">
        <v>43.3</v>
      </c>
      <c r="G67" s="1">
        <v>58</v>
      </c>
      <c r="H67" s="20">
        <f t="shared" si="4"/>
        <v>0.96666666666666667</v>
      </c>
      <c r="I67" s="13">
        <v>0.25</v>
      </c>
      <c r="J67" s="21">
        <f t="shared" si="1"/>
        <v>0.85086206896551708</v>
      </c>
      <c r="K67" s="1">
        <v>8.34</v>
      </c>
      <c r="L67" s="25">
        <f t="shared" si="2"/>
        <v>8.3400000000000002E-3</v>
      </c>
      <c r="M67" s="26">
        <f t="shared" si="3"/>
        <v>102.02183081121308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x14ac:dyDescent="0.25">
      <c r="A68" s="1" t="s">
        <v>42</v>
      </c>
      <c r="B68" s="1">
        <v>27</v>
      </c>
      <c r="C68" s="8">
        <v>7.64</v>
      </c>
      <c r="D68" s="1">
        <v>95.2</v>
      </c>
      <c r="E68" s="12">
        <v>2.57</v>
      </c>
      <c r="F68" s="1">
        <v>30.9</v>
      </c>
      <c r="G68" s="1">
        <v>55</v>
      </c>
      <c r="H68" s="20">
        <f t="shared" si="4"/>
        <v>0.91666666666666663</v>
      </c>
      <c r="I68" s="13">
        <v>0.25</v>
      </c>
      <c r="J68" s="21">
        <f t="shared" si="1"/>
        <v>1.3827272727272728</v>
      </c>
      <c r="K68" s="1">
        <v>8.18</v>
      </c>
      <c r="L68" s="25">
        <f t="shared" si="2"/>
        <v>8.1799999999999998E-3</v>
      </c>
      <c r="M68" s="26">
        <f t="shared" si="3"/>
        <v>169.03756390308959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x14ac:dyDescent="0.25">
      <c r="A69" s="1" t="s">
        <v>42</v>
      </c>
      <c r="B69" s="1">
        <v>30</v>
      </c>
      <c r="C69" s="8">
        <v>6.9</v>
      </c>
      <c r="D69" s="15">
        <v>88.2</v>
      </c>
      <c r="E69" s="12">
        <v>5.28</v>
      </c>
      <c r="F69" s="1">
        <v>65.900000000000006</v>
      </c>
      <c r="G69" s="1">
        <v>56</v>
      </c>
      <c r="H69" s="20">
        <f t="shared" si="4"/>
        <v>0.93333333333333335</v>
      </c>
      <c r="I69" s="13">
        <v>0.25</v>
      </c>
      <c r="J69" s="21">
        <f t="shared" ref="J69:J93" si="5">((C69-E69)/H69)*I69</f>
        <v>0.43392857142857144</v>
      </c>
      <c r="K69" s="1">
        <v>5.92</v>
      </c>
      <c r="L69" s="25">
        <f t="shared" ref="L69:L93" si="6">K69/1000</f>
        <v>5.9199999999999999E-3</v>
      </c>
      <c r="M69" s="26">
        <f t="shared" ref="M69:M93" si="7">J69/L69</f>
        <v>73.298745173745175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x14ac:dyDescent="0.25">
      <c r="A70" s="1" t="s">
        <v>43</v>
      </c>
      <c r="B70" s="1">
        <v>15</v>
      </c>
      <c r="C70" s="8">
        <v>9.4700000000000006</v>
      </c>
      <c r="D70" s="1">
        <v>97.4</v>
      </c>
      <c r="E70" s="12">
        <v>7.95</v>
      </c>
      <c r="F70" s="1">
        <v>87.1</v>
      </c>
      <c r="G70" s="1">
        <v>60</v>
      </c>
      <c r="H70" s="20">
        <f t="shared" si="4"/>
        <v>1</v>
      </c>
      <c r="I70" s="13">
        <v>0.25</v>
      </c>
      <c r="J70" s="21">
        <f t="shared" si="5"/>
        <v>0.38000000000000012</v>
      </c>
      <c r="K70" s="1">
        <v>7.3</v>
      </c>
      <c r="L70" s="25">
        <f t="shared" si="6"/>
        <v>7.3000000000000001E-3</v>
      </c>
      <c r="M70" s="26">
        <f t="shared" si="7"/>
        <v>52.054794520547958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x14ac:dyDescent="0.25">
      <c r="A71" s="1" t="s">
        <v>43</v>
      </c>
      <c r="B71" s="1">
        <v>18</v>
      </c>
      <c r="C71" s="8">
        <v>8.35</v>
      </c>
      <c r="D71" s="1">
        <v>92.2</v>
      </c>
      <c r="E71" s="12">
        <v>6.46</v>
      </c>
      <c r="F71" s="1">
        <v>71.5</v>
      </c>
      <c r="G71" s="1">
        <v>60</v>
      </c>
      <c r="H71" s="20">
        <f t="shared" si="4"/>
        <v>1</v>
      </c>
      <c r="I71" s="13">
        <v>0.25</v>
      </c>
      <c r="J71" s="21">
        <f t="shared" si="5"/>
        <v>0.47249999999999992</v>
      </c>
      <c r="K71" s="1">
        <v>5.55</v>
      </c>
      <c r="L71" s="25">
        <f t="shared" si="6"/>
        <v>5.5500000000000002E-3</v>
      </c>
      <c r="M71" s="26">
        <f t="shared" si="7"/>
        <v>85.135135135135116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x14ac:dyDescent="0.25">
      <c r="A72" s="1" t="s">
        <v>43</v>
      </c>
      <c r="B72" s="1">
        <v>21</v>
      </c>
      <c r="C72" s="8">
        <v>7.88</v>
      </c>
      <c r="D72" s="1">
        <v>92.4</v>
      </c>
      <c r="E72" s="12">
        <v>5.31</v>
      </c>
      <c r="F72" s="1">
        <v>62.7</v>
      </c>
      <c r="G72" s="1">
        <v>59</v>
      </c>
      <c r="H72" s="20">
        <f t="shared" si="4"/>
        <v>0.98333333333333328</v>
      </c>
      <c r="I72" s="13">
        <v>0.25</v>
      </c>
      <c r="J72" s="21">
        <f t="shared" si="5"/>
        <v>0.65338983050847466</v>
      </c>
      <c r="K72" s="1">
        <v>8.1199999999999992</v>
      </c>
      <c r="L72" s="25">
        <f t="shared" si="6"/>
        <v>8.1199999999999987E-3</v>
      </c>
      <c r="M72" s="26">
        <f t="shared" si="7"/>
        <v>80.466727895132365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x14ac:dyDescent="0.25">
      <c r="A73" s="1" t="s">
        <v>43</v>
      </c>
      <c r="B73" s="1">
        <v>24</v>
      </c>
      <c r="C73" s="8">
        <v>7.65</v>
      </c>
      <c r="D73" s="1">
        <v>92.8</v>
      </c>
      <c r="E73" s="12">
        <v>5.35</v>
      </c>
      <c r="F73" s="1">
        <v>64.900000000000006</v>
      </c>
      <c r="G73" s="1">
        <v>60</v>
      </c>
      <c r="H73" s="20">
        <f t="shared" si="4"/>
        <v>1</v>
      </c>
      <c r="I73" s="13">
        <v>0.25</v>
      </c>
      <c r="J73" s="21">
        <f t="shared" si="5"/>
        <v>0.57500000000000018</v>
      </c>
      <c r="K73" s="1">
        <v>7.12</v>
      </c>
      <c r="L73" s="25">
        <f t="shared" si="6"/>
        <v>7.1200000000000005E-3</v>
      </c>
      <c r="M73" s="26">
        <f t="shared" si="7"/>
        <v>80.758426966292149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x14ac:dyDescent="0.25">
      <c r="A74" s="1" t="s">
        <v>43</v>
      </c>
      <c r="B74" s="1">
        <v>27</v>
      </c>
      <c r="C74" s="8">
        <v>7.9</v>
      </c>
      <c r="D74" s="1">
        <v>92.4</v>
      </c>
      <c r="E74" s="12">
        <v>3.96</v>
      </c>
      <c r="F74" s="1">
        <v>48.5</v>
      </c>
      <c r="G74" s="1">
        <v>61</v>
      </c>
      <c r="H74" s="20">
        <f t="shared" si="4"/>
        <v>1.0166666666666666</v>
      </c>
      <c r="I74" s="13">
        <v>0.25</v>
      </c>
      <c r="J74" s="21">
        <f t="shared" si="5"/>
        <v>0.96885245901639361</v>
      </c>
      <c r="K74" s="1">
        <v>9.4600000000000009</v>
      </c>
      <c r="L74" s="25">
        <f t="shared" si="6"/>
        <v>9.4600000000000014E-3</v>
      </c>
      <c r="M74" s="26">
        <f t="shared" si="7"/>
        <v>102.41569334211347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x14ac:dyDescent="0.25">
      <c r="A75" s="1" t="s">
        <v>43</v>
      </c>
      <c r="B75" s="1">
        <v>30</v>
      </c>
      <c r="C75" s="8">
        <v>6.89</v>
      </c>
      <c r="D75" s="1">
        <v>88.7</v>
      </c>
      <c r="E75" s="12">
        <v>1.87</v>
      </c>
      <c r="F75" s="1">
        <v>22.4</v>
      </c>
      <c r="G75" s="1">
        <v>61</v>
      </c>
      <c r="H75" s="20">
        <f t="shared" si="4"/>
        <v>1.0166666666666666</v>
      </c>
      <c r="I75" s="13">
        <v>0.25</v>
      </c>
      <c r="J75" s="21">
        <f t="shared" si="5"/>
        <v>1.2344262295081967</v>
      </c>
      <c r="K75" s="1">
        <v>7.12</v>
      </c>
      <c r="L75" s="25">
        <f t="shared" si="6"/>
        <v>7.1200000000000005E-3</v>
      </c>
      <c r="M75" s="26">
        <f t="shared" si="7"/>
        <v>173.37447043654447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x14ac:dyDescent="0.25">
      <c r="A76" s="1" t="s">
        <v>44</v>
      </c>
      <c r="B76" s="1">
        <v>15</v>
      </c>
      <c r="C76" s="8">
        <v>8.77</v>
      </c>
      <c r="D76" s="1">
        <v>96.8</v>
      </c>
      <c r="E76" s="12">
        <v>8.27</v>
      </c>
      <c r="F76" s="1">
        <v>97.1</v>
      </c>
      <c r="G76" s="1">
        <v>57</v>
      </c>
      <c r="H76" s="20">
        <f t="shared" si="4"/>
        <v>0.95</v>
      </c>
      <c r="I76" s="13">
        <v>0.25</v>
      </c>
      <c r="J76" s="21">
        <f t="shared" si="5"/>
        <v>0.13157894736842105</v>
      </c>
      <c r="K76" s="1">
        <v>5.88</v>
      </c>
      <c r="L76" s="25">
        <f t="shared" si="6"/>
        <v>5.8799999999999998E-3</v>
      </c>
      <c r="M76" s="26">
        <f t="shared" si="7"/>
        <v>22.37737200143215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x14ac:dyDescent="0.25">
      <c r="A77" s="1" t="s">
        <v>44</v>
      </c>
      <c r="B77" s="1">
        <v>18</v>
      </c>
      <c r="C77" s="8">
        <v>8.77</v>
      </c>
      <c r="D77" s="1">
        <v>96.8</v>
      </c>
      <c r="E77" s="12">
        <v>5.68</v>
      </c>
      <c r="F77" s="1">
        <v>65.3</v>
      </c>
      <c r="G77" s="1">
        <v>56</v>
      </c>
      <c r="H77" s="20">
        <f t="shared" si="4"/>
        <v>0.93333333333333335</v>
      </c>
      <c r="I77" s="13">
        <v>0.25</v>
      </c>
      <c r="J77" s="21">
        <f t="shared" si="5"/>
        <v>0.82767857142857137</v>
      </c>
      <c r="K77" s="1">
        <v>5.66</v>
      </c>
      <c r="L77" s="25">
        <f t="shared" si="6"/>
        <v>5.6600000000000001E-3</v>
      </c>
      <c r="M77" s="26">
        <f t="shared" si="7"/>
        <v>146.23296314992427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x14ac:dyDescent="0.25">
      <c r="A78" s="1" t="s">
        <v>44</v>
      </c>
      <c r="B78" s="1">
        <v>21</v>
      </c>
      <c r="C78" s="8">
        <v>8.58</v>
      </c>
      <c r="D78" s="1">
        <v>97.6</v>
      </c>
      <c r="E78" s="12">
        <v>5.87</v>
      </c>
      <c r="F78" s="1">
        <v>67.7</v>
      </c>
      <c r="G78" s="1">
        <v>59</v>
      </c>
      <c r="H78" s="20">
        <f t="shared" si="4"/>
        <v>0.98333333333333328</v>
      </c>
      <c r="I78" s="13">
        <v>0.25</v>
      </c>
      <c r="J78" s="21">
        <f t="shared" si="5"/>
        <v>0.6889830508474577</v>
      </c>
      <c r="K78" s="1">
        <v>7.32</v>
      </c>
      <c r="L78" s="25">
        <f t="shared" si="6"/>
        <v>7.3200000000000001E-3</v>
      </c>
      <c r="M78" s="26">
        <f t="shared" si="7"/>
        <v>94.123367602111699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x14ac:dyDescent="0.25">
      <c r="A79" s="1" t="s">
        <v>44</v>
      </c>
      <c r="B79" s="1">
        <v>24</v>
      </c>
      <c r="C79" s="8">
        <v>7.02</v>
      </c>
      <c r="D79" s="1">
        <v>81.8</v>
      </c>
      <c r="E79" s="12">
        <v>4.43</v>
      </c>
      <c r="F79" s="1">
        <v>52.4</v>
      </c>
      <c r="G79" s="1">
        <v>58</v>
      </c>
      <c r="H79" s="20">
        <f t="shared" si="4"/>
        <v>0.96666666666666667</v>
      </c>
      <c r="I79" s="13">
        <v>0.25</v>
      </c>
      <c r="J79" s="21">
        <f t="shared" si="5"/>
        <v>0.66982758620689653</v>
      </c>
      <c r="K79" s="1">
        <v>4.9400000000000004</v>
      </c>
      <c r="L79" s="25">
        <f t="shared" si="6"/>
        <v>4.9400000000000008E-3</v>
      </c>
      <c r="M79" s="26">
        <f t="shared" si="7"/>
        <v>135.59262878682114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x14ac:dyDescent="0.25">
      <c r="A80" s="1" t="s">
        <v>44</v>
      </c>
      <c r="B80" s="1">
        <v>27</v>
      </c>
      <c r="C80" s="8">
        <v>7.64</v>
      </c>
      <c r="D80" s="1">
        <v>95.2</v>
      </c>
      <c r="E80" s="12">
        <v>3.64</v>
      </c>
      <c r="F80" s="1">
        <v>44.7</v>
      </c>
      <c r="G80" s="1">
        <v>55</v>
      </c>
      <c r="H80" s="20">
        <f t="shared" si="4"/>
        <v>0.91666666666666663</v>
      </c>
      <c r="I80" s="13">
        <v>0.25</v>
      </c>
      <c r="J80" s="21">
        <f t="shared" si="5"/>
        <v>1.0909090909090908</v>
      </c>
      <c r="K80" s="1">
        <v>4.26</v>
      </c>
      <c r="L80" s="25">
        <f t="shared" si="6"/>
        <v>4.2599999999999999E-3</v>
      </c>
      <c r="M80" s="26">
        <f t="shared" si="7"/>
        <v>256.08194622279126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x14ac:dyDescent="0.25">
      <c r="A81" s="1" t="s">
        <v>44</v>
      </c>
      <c r="B81" s="1">
        <v>30</v>
      </c>
      <c r="C81" s="8">
        <v>7.48</v>
      </c>
      <c r="D81" s="1">
        <v>97.5</v>
      </c>
      <c r="E81" s="12">
        <v>3.24</v>
      </c>
      <c r="F81" s="1">
        <v>41.4</v>
      </c>
      <c r="G81" s="1">
        <v>64</v>
      </c>
      <c r="H81" s="20">
        <f t="shared" si="4"/>
        <v>1.0666666666666667</v>
      </c>
      <c r="I81" s="13">
        <v>0.25</v>
      </c>
      <c r="J81" s="21">
        <f t="shared" si="5"/>
        <v>0.99375000000000002</v>
      </c>
      <c r="K81" s="1">
        <v>6.01</v>
      </c>
      <c r="L81" s="25">
        <f t="shared" si="6"/>
        <v>6.0099999999999997E-3</v>
      </c>
      <c r="M81" s="26">
        <f t="shared" si="7"/>
        <v>165.34941763727122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x14ac:dyDescent="0.25">
      <c r="A82" s="1" t="s">
        <v>45</v>
      </c>
      <c r="B82" s="1">
        <v>15</v>
      </c>
      <c r="C82" s="8">
        <v>8.77</v>
      </c>
      <c r="D82" s="1">
        <v>96.8</v>
      </c>
      <c r="E82" s="12">
        <v>7.05</v>
      </c>
      <c r="F82" s="1">
        <v>81.8</v>
      </c>
      <c r="G82" s="1">
        <v>70</v>
      </c>
      <c r="H82" s="20">
        <f t="shared" si="4"/>
        <v>1.1666666666666667</v>
      </c>
      <c r="I82" s="13">
        <v>0.25</v>
      </c>
      <c r="J82" s="21">
        <f t="shared" si="5"/>
        <v>0.36857142857142849</v>
      </c>
      <c r="K82" s="1">
        <v>7.8</v>
      </c>
      <c r="L82" s="25">
        <f t="shared" si="6"/>
        <v>7.7999999999999996E-3</v>
      </c>
      <c r="M82" s="26">
        <f t="shared" si="7"/>
        <v>47.252747252747248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x14ac:dyDescent="0.25">
      <c r="A83" s="1" t="s">
        <v>45</v>
      </c>
      <c r="B83" s="1">
        <v>18</v>
      </c>
      <c r="C83" s="8">
        <v>8.77</v>
      </c>
      <c r="D83" s="1">
        <v>96.8</v>
      </c>
      <c r="E83" s="12">
        <v>6.36</v>
      </c>
      <c r="F83" s="1">
        <v>73.599999999999994</v>
      </c>
      <c r="G83" s="1">
        <v>59</v>
      </c>
      <c r="H83" s="20">
        <f t="shared" si="4"/>
        <v>0.98333333333333328</v>
      </c>
      <c r="I83" s="13">
        <v>0.25</v>
      </c>
      <c r="J83" s="21">
        <f>((C83-E83)/H83)*I83</f>
        <v>0.61271186440677949</v>
      </c>
      <c r="K83" s="1">
        <v>8.35</v>
      </c>
      <c r="L83" s="25">
        <f t="shared" si="6"/>
        <v>8.3499999999999998E-3</v>
      </c>
      <c r="M83" s="26">
        <f t="shared" si="7"/>
        <v>73.378666396021501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x14ac:dyDescent="0.25">
      <c r="A84" s="1" t="s">
        <v>45</v>
      </c>
      <c r="B84" s="1">
        <v>21</v>
      </c>
      <c r="C84" s="8">
        <v>8.58</v>
      </c>
      <c r="D84" s="1">
        <v>97.6</v>
      </c>
      <c r="E84" s="12">
        <v>5.18</v>
      </c>
      <c r="F84" s="1">
        <v>60.1</v>
      </c>
      <c r="G84" s="1">
        <v>61</v>
      </c>
      <c r="H84" s="20">
        <f t="shared" si="4"/>
        <v>1.0166666666666666</v>
      </c>
      <c r="I84" s="13">
        <v>0.25</v>
      </c>
      <c r="J84" s="21">
        <f t="shared" si="5"/>
        <v>0.83606557377049195</v>
      </c>
      <c r="K84" s="1">
        <v>5.31</v>
      </c>
      <c r="L84" s="25">
        <f t="shared" si="6"/>
        <v>5.3099999999999996E-3</v>
      </c>
      <c r="M84" s="26">
        <f t="shared" si="7"/>
        <v>157.45114383625085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x14ac:dyDescent="0.25">
      <c r="A85" s="1" t="s">
        <v>45</v>
      </c>
      <c r="B85" s="1">
        <v>24</v>
      </c>
      <c r="C85" s="8">
        <v>7.02</v>
      </c>
      <c r="D85" s="1">
        <v>81.8</v>
      </c>
      <c r="E85" s="12">
        <v>4.93</v>
      </c>
      <c r="F85" s="1">
        <v>57.9</v>
      </c>
      <c r="G85" s="1">
        <v>61</v>
      </c>
      <c r="H85" s="20">
        <f t="shared" si="4"/>
        <v>1.0166666666666666</v>
      </c>
      <c r="I85" s="13">
        <v>0.25</v>
      </c>
      <c r="J85" s="21">
        <f t="shared" si="5"/>
        <v>0.51393442622950825</v>
      </c>
      <c r="K85" s="1">
        <v>6.3</v>
      </c>
      <c r="L85" s="25">
        <f t="shared" si="6"/>
        <v>6.3E-3</v>
      </c>
      <c r="M85" s="26">
        <f t="shared" si="7"/>
        <v>81.576893052302893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x14ac:dyDescent="0.25">
      <c r="A86" s="1" t="s">
        <v>45</v>
      </c>
      <c r="B86" s="1">
        <v>27</v>
      </c>
      <c r="C86" s="8">
        <v>7.64</v>
      </c>
      <c r="D86" s="1">
        <v>95.2</v>
      </c>
      <c r="E86" s="12">
        <v>3.49</v>
      </c>
      <c r="F86" s="1">
        <v>43.7</v>
      </c>
      <c r="G86" s="1">
        <v>68</v>
      </c>
      <c r="H86" s="20">
        <f t="shared" si="4"/>
        <v>1.1333333333333333</v>
      </c>
      <c r="I86" s="13">
        <v>0.25</v>
      </c>
      <c r="J86" s="21">
        <f t="shared" si="5"/>
        <v>0.91544117647058809</v>
      </c>
      <c r="K86" s="1">
        <v>5.82</v>
      </c>
      <c r="L86" s="25">
        <f t="shared" si="6"/>
        <v>5.8200000000000005E-3</v>
      </c>
      <c r="M86" s="26">
        <f t="shared" si="7"/>
        <v>157.29229836264398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x14ac:dyDescent="0.25">
      <c r="A87" s="1" t="s">
        <v>45</v>
      </c>
      <c r="B87" s="1">
        <v>30</v>
      </c>
      <c r="C87" s="8">
        <v>6.9</v>
      </c>
      <c r="D87" s="1">
        <v>88.2</v>
      </c>
      <c r="E87" s="12">
        <v>3.73</v>
      </c>
      <c r="F87" s="1">
        <v>48.1</v>
      </c>
      <c r="G87" s="1">
        <v>70</v>
      </c>
      <c r="H87" s="20">
        <f t="shared" si="4"/>
        <v>1.1666666666666667</v>
      </c>
      <c r="I87" s="13">
        <v>0.25</v>
      </c>
      <c r="J87" s="21">
        <f t="shared" si="5"/>
        <v>0.67928571428571427</v>
      </c>
      <c r="K87" s="1">
        <v>6.98</v>
      </c>
      <c r="L87" s="25">
        <f t="shared" si="6"/>
        <v>6.9800000000000001E-3</v>
      </c>
      <c r="M87" s="26">
        <f t="shared" si="7"/>
        <v>97.318870241506346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x14ac:dyDescent="0.25">
      <c r="A88" s="1" t="s">
        <v>48</v>
      </c>
      <c r="B88" s="1">
        <v>15</v>
      </c>
      <c r="C88" s="8">
        <v>8.77</v>
      </c>
      <c r="D88" s="1">
        <v>96.8</v>
      </c>
      <c r="E88" s="12">
        <v>7.02</v>
      </c>
      <c r="F88" s="1">
        <v>78</v>
      </c>
      <c r="G88" s="1">
        <v>84</v>
      </c>
      <c r="H88" s="20">
        <f t="shared" si="4"/>
        <v>1.4</v>
      </c>
      <c r="I88" s="13">
        <v>0.25</v>
      </c>
      <c r="J88" s="21">
        <f t="shared" si="5"/>
        <v>0.3125</v>
      </c>
      <c r="K88" s="1">
        <v>5.46</v>
      </c>
      <c r="L88" s="25">
        <f t="shared" si="6"/>
        <v>5.4599999999999996E-3</v>
      </c>
      <c r="M88" s="26">
        <f t="shared" si="7"/>
        <v>57.234432234432241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x14ac:dyDescent="0.25">
      <c r="A89" s="1" t="s">
        <v>47</v>
      </c>
      <c r="B89" s="1">
        <v>18</v>
      </c>
      <c r="C89" s="8">
        <v>8.77</v>
      </c>
      <c r="D89" s="1">
        <v>96.8</v>
      </c>
      <c r="E89" s="12">
        <v>5.5</v>
      </c>
      <c r="F89" s="1">
        <v>64.5</v>
      </c>
      <c r="G89" s="1">
        <v>85</v>
      </c>
      <c r="H89" s="20">
        <f t="shared" si="4"/>
        <v>1.4166666666666667</v>
      </c>
      <c r="I89" s="13">
        <v>0.25</v>
      </c>
      <c r="J89" s="21">
        <f t="shared" si="5"/>
        <v>0.57705882352941162</v>
      </c>
      <c r="K89" s="1">
        <v>5.36</v>
      </c>
      <c r="L89" s="25">
        <f t="shared" si="6"/>
        <v>5.3600000000000002E-3</v>
      </c>
      <c r="M89" s="26">
        <f t="shared" si="7"/>
        <v>107.66022827041262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x14ac:dyDescent="0.25">
      <c r="A90" s="1" t="s">
        <v>47</v>
      </c>
      <c r="B90" s="1">
        <v>21</v>
      </c>
      <c r="C90" s="8">
        <v>8.58</v>
      </c>
      <c r="D90" s="1">
        <v>97.6</v>
      </c>
      <c r="E90" s="12">
        <v>4.8899999999999997</v>
      </c>
      <c r="F90" s="1">
        <v>59.5</v>
      </c>
      <c r="G90" s="1">
        <v>84</v>
      </c>
      <c r="H90" s="20">
        <f t="shared" si="4"/>
        <v>1.4</v>
      </c>
      <c r="I90" s="13">
        <v>0.25</v>
      </c>
      <c r="J90" s="21">
        <f t="shared" si="5"/>
        <v>0.65892857142857153</v>
      </c>
      <c r="K90" s="1">
        <v>5.57</v>
      </c>
      <c r="L90" s="25">
        <f t="shared" si="6"/>
        <v>5.5700000000000003E-3</v>
      </c>
      <c r="M90" s="26">
        <f t="shared" si="7"/>
        <v>118.29956399076687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x14ac:dyDescent="0.25">
      <c r="A91" s="1" t="s">
        <v>47</v>
      </c>
      <c r="B91" s="1">
        <v>24</v>
      </c>
      <c r="C91" s="8">
        <v>7.02</v>
      </c>
      <c r="D91" s="1">
        <v>81.8</v>
      </c>
      <c r="E91" s="12">
        <v>2</v>
      </c>
      <c r="F91" s="1">
        <v>24.7</v>
      </c>
      <c r="G91" s="1">
        <v>83</v>
      </c>
      <c r="H91" s="20">
        <f t="shared" si="4"/>
        <v>1.3833333333333333</v>
      </c>
      <c r="I91" s="13">
        <v>0.25</v>
      </c>
      <c r="J91" s="21">
        <f t="shared" si="5"/>
        <v>0.90722891566265051</v>
      </c>
      <c r="K91" s="1">
        <v>5.56</v>
      </c>
      <c r="L91" s="25">
        <f t="shared" si="6"/>
        <v>5.5599999999999998E-3</v>
      </c>
      <c r="M91" s="26">
        <f t="shared" si="7"/>
        <v>163.17066828464937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x14ac:dyDescent="0.25">
      <c r="A92" s="1" t="s">
        <v>47</v>
      </c>
      <c r="B92" s="1">
        <v>27</v>
      </c>
      <c r="C92" s="8">
        <v>7.64</v>
      </c>
      <c r="D92" s="1">
        <v>95.2</v>
      </c>
      <c r="E92" s="12">
        <v>2.73</v>
      </c>
      <c r="F92" s="1">
        <v>34.6</v>
      </c>
      <c r="G92" s="1">
        <v>78</v>
      </c>
      <c r="H92" s="20">
        <f t="shared" si="4"/>
        <v>1.3</v>
      </c>
      <c r="I92" s="13">
        <v>0.25</v>
      </c>
      <c r="J92" s="21">
        <f t="shared" si="5"/>
        <v>0.94423076923076921</v>
      </c>
      <c r="K92" s="1">
        <v>4.66</v>
      </c>
      <c r="L92" s="25">
        <f t="shared" si="6"/>
        <v>4.6600000000000001E-3</v>
      </c>
      <c r="M92" s="26">
        <f t="shared" si="7"/>
        <v>202.62462859029381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x14ac:dyDescent="0.25">
      <c r="A93" s="1" t="s">
        <v>47</v>
      </c>
      <c r="B93" s="1">
        <v>30</v>
      </c>
      <c r="C93" s="8">
        <v>6.9</v>
      </c>
      <c r="D93" s="1">
        <v>88.2</v>
      </c>
      <c r="E93" s="12">
        <v>2.2999999999999998</v>
      </c>
      <c r="F93" s="1">
        <v>28.8</v>
      </c>
      <c r="G93" s="1">
        <v>82</v>
      </c>
      <c r="H93" s="20">
        <f t="shared" si="4"/>
        <v>1.3666666666666667</v>
      </c>
      <c r="I93" s="13">
        <v>0.25</v>
      </c>
      <c r="J93" s="21">
        <f t="shared" si="5"/>
        <v>0.84146341463414642</v>
      </c>
      <c r="K93" s="1">
        <v>5.97</v>
      </c>
      <c r="L93" s="25">
        <f t="shared" si="6"/>
        <v>5.9699999999999996E-3</v>
      </c>
      <c r="M93" s="26">
        <f t="shared" si="7"/>
        <v>140.94864566736121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</sheetData>
  <mergeCells count="12">
    <mergeCell ref="J1:J2"/>
    <mergeCell ref="K1:K3"/>
    <mergeCell ref="L1:L3"/>
    <mergeCell ref="M1:M2"/>
    <mergeCell ref="N4:N9"/>
    <mergeCell ref="H1:H3"/>
    <mergeCell ref="I1:I3"/>
    <mergeCell ref="A1:A3"/>
    <mergeCell ref="B1:B3"/>
    <mergeCell ref="C1:D2"/>
    <mergeCell ref="E1:F2"/>
    <mergeCell ref="G1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41677-6E73-4F52-A892-C839D8507089}">
  <dimension ref="A1:J33"/>
  <sheetViews>
    <sheetView workbookViewId="0">
      <selection activeCell="E39" sqref="E39"/>
    </sheetView>
  </sheetViews>
  <sheetFormatPr defaultRowHeight="12.75" x14ac:dyDescent="0.2"/>
  <cols>
    <col min="1" max="1" width="39.28515625" bestFit="1" customWidth="1"/>
    <col min="2" max="2" width="10.28515625" bestFit="1" customWidth="1"/>
    <col min="3" max="3" width="7.28515625" bestFit="1" customWidth="1"/>
    <col min="4" max="4" width="6" bestFit="1" customWidth="1"/>
    <col min="5" max="5" width="7.28515625" bestFit="1" customWidth="1"/>
    <col min="6" max="6" width="6" bestFit="1" customWidth="1"/>
    <col min="7" max="7" width="11.42578125" bestFit="1" customWidth="1"/>
    <col min="8" max="8" width="12" bestFit="1" customWidth="1"/>
    <col min="9" max="9" width="11.42578125" bestFit="1" customWidth="1"/>
    <col min="10" max="10" width="52.140625" bestFit="1" customWidth="1"/>
  </cols>
  <sheetData>
    <row r="1" spans="1:10" x14ac:dyDescent="0.2">
      <c r="A1" s="31" t="s">
        <v>0</v>
      </c>
      <c r="B1" s="32" t="s">
        <v>1</v>
      </c>
      <c r="C1" s="33" t="s">
        <v>2</v>
      </c>
      <c r="D1" s="34"/>
      <c r="E1" s="33" t="s">
        <v>3</v>
      </c>
      <c r="F1" s="34"/>
      <c r="G1" s="32" t="s">
        <v>4</v>
      </c>
      <c r="H1" s="27" t="s">
        <v>5</v>
      </c>
      <c r="I1" s="30" t="s">
        <v>6</v>
      </c>
      <c r="J1" s="37" t="s">
        <v>7</v>
      </c>
    </row>
    <row r="2" spans="1:10" x14ac:dyDescent="0.2">
      <c r="A2" s="28"/>
      <c r="B2" s="28"/>
      <c r="C2" s="35"/>
      <c r="D2" s="36"/>
      <c r="E2" s="35"/>
      <c r="F2" s="36"/>
      <c r="G2" s="28"/>
      <c r="H2" s="28"/>
      <c r="I2" s="28"/>
      <c r="J2" s="29"/>
    </row>
    <row r="3" spans="1:10" ht="15.75" customHeight="1" x14ac:dyDescent="0.25">
      <c r="A3" s="29"/>
      <c r="B3" s="29"/>
      <c r="C3" s="2" t="s">
        <v>11</v>
      </c>
      <c r="D3" s="3" t="s">
        <v>12</v>
      </c>
      <c r="E3" s="4" t="s">
        <v>11</v>
      </c>
      <c r="F3" s="3" t="s">
        <v>12</v>
      </c>
      <c r="G3" s="29"/>
      <c r="H3" s="29"/>
      <c r="I3" s="29"/>
      <c r="J3" s="5" t="s">
        <v>13</v>
      </c>
    </row>
    <row r="4" spans="1:10" ht="15.75" customHeight="1" x14ac:dyDescent="0.25">
      <c r="A4" s="7" t="s">
        <v>15</v>
      </c>
      <c r="B4" s="7">
        <v>15</v>
      </c>
      <c r="C4" s="8">
        <v>9.92</v>
      </c>
      <c r="D4" s="7">
        <v>103.7</v>
      </c>
      <c r="E4" s="9">
        <v>8.6</v>
      </c>
      <c r="F4" s="10">
        <v>99.7</v>
      </c>
      <c r="G4" s="10">
        <v>60</v>
      </c>
      <c r="H4" s="20">
        <f t="shared" ref="H4:H26" si="0">G4/60</f>
        <v>1</v>
      </c>
      <c r="I4" s="11">
        <v>0.25</v>
      </c>
      <c r="J4" s="21">
        <f t="shared" ref="J4:J26" si="1">(C4-E4/H4)*I4</f>
        <v>0.33000000000000007</v>
      </c>
    </row>
    <row r="5" spans="1:10" ht="15.75" customHeight="1" x14ac:dyDescent="0.25">
      <c r="A5" s="15" t="s">
        <v>38</v>
      </c>
      <c r="B5" s="7">
        <v>15</v>
      </c>
      <c r="C5" s="16">
        <v>9.0299999999999994</v>
      </c>
      <c r="D5" s="1">
        <v>101.9</v>
      </c>
      <c r="E5" s="17">
        <v>0.36458333333333331</v>
      </c>
      <c r="F5" s="18">
        <v>93.5</v>
      </c>
      <c r="G5" s="18">
        <v>68</v>
      </c>
      <c r="H5" s="20">
        <f t="shared" si="0"/>
        <v>1.1333333333333333</v>
      </c>
      <c r="I5" s="11">
        <v>0.25</v>
      </c>
      <c r="J5" s="21">
        <f t="shared" si="1"/>
        <v>2.1770772058823527</v>
      </c>
    </row>
    <row r="6" spans="1:10" ht="15.75" customHeight="1" x14ac:dyDescent="0.25">
      <c r="A6" s="1" t="s">
        <v>43</v>
      </c>
      <c r="B6" s="1">
        <v>15</v>
      </c>
      <c r="C6" s="8">
        <v>9.4700000000000006</v>
      </c>
      <c r="D6" s="1">
        <v>97.4</v>
      </c>
      <c r="E6" s="17">
        <v>8.9</v>
      </c>
      <c r="F6" s="18">
        <v>91.7</v>
      </c>
      <c r="G6" s="18">
        <v>61</v>
      </c>
      <c r="H6" s="20">
        <f t="shared" si="0"/>
        <v>1.0166666666666666</v>
      </c>
      <c r="I6" s="11">
        <v>0.25</v>
      </c>
      <c r="J6" s="21">
        <f t="shared" si="1"/>
        <v>0.17897540983606541</v>
      </c>
    </row>
    <row r="7" spans="1:10" ht="15.75" customHeight="1" x14ac:dyDescent="0.25">
      <c r="A7" s="1" t="s">
        <v>16</v>
      </c>
      <c r="B7" s="7">
        <v>18</v>
      </c>
      <c r="C7" s="8">
        <v>8.59</v>
      </c>
      <c r="D7" s="7">
        <v>95</v>
      </c>
      <c r="E7" s="17">
        <v>8.64</v>
      </c>
      <c r="F7" s="10">
        <v>93.3</v>
      </c>
      <c r="G7" s="10">
        <v>60</v>
      </c>
      <c r="H7" s="20">
        <f t="shared" si="0"/>
        <v>1</v>
      </c>
      <c r="I7" s="11">
        <v>0.25</v>
      </c>
      <c r="J7" s="21">
        <f t="shared" si="1"/>
        <v>-1.2500000000000178E-2</v>
      </c>
    </row>
    <row r="8" spans="1:10" ht="15.75" customHeight="1" x14ac:dyDescent="0.25">
      <c r="A8" s="7" t="s">
        <v>31</v>
      </c>
      <c r="B8" s="7">
        <v>18</v>
      </c>
      <c r="C8" s="8">
        <v>8.77</v>
      </c>
      <c r="D8" s="7">
        <v>96.8</v>
      </c>
      <c r="E8" s="17">
        <v>8.27</v>
      </c>
      <c r="F8" s="10">
        <v>94.8</v>
      </c>
      <c r="G8" s="10">
        <v>65</v>
      </c>
      <c r="H8" s="20">
        <f t="shared" si="0"/>
        <v>1.0833333333333333</v>
      </c>
      <c r="I8" s="11">
        <v>0.25</v>
      </c>
      <c r="J8" s="21">
        <f t="shared" si="1"/>
        <v>0.28403846153846146</v>
      </c>
    </row>
    <row r="9" spans="1:10" ht="15.75" customHeight="1" x14ac:dyDescent="0.25">
      <c r="A9" s="1" t="s">
        <v>38</v>
      </c>
      <c r="B9" s="7">
        <v>18</v>
      </c>
      <c r="C9" s="8">
        <v>8.2799999999999994</v>
      </c>
      <c r="D9" s="1">
        <v>92.9</v>
      </c>
      <c r="E9" s="17">
        <v>0.33402777777777776</v>
      </c>
      <c r="F9" s="18">
        <v>88.2</v>
      </c>
      <c r="G9" s="18">
        <v>67</v>
      </c>
      <c r="H9" s="20">
        <f t="shared" si="0"/>
        <v>1.1166666666666667</v>
      </c>
      <c r="I9" s="11">
        <v>0.25</v>
      </c>
      <c r="J9" s="21">
        <f t="shared" si="1"/>
        <v>1.9952176616915422</v>
      </c>
    </row>
    <row r="10" spans="1:10" ht="15.75" customHeight="1" x14ac:dyDescent="0.25">
      <c r="A10" s="7" t="s">
        <v>17</v>
      </c>
      <c r="B10" s="7">
        <v>21</v>
      </c>
      <c r="C10" s="8">
        <v>8.49</v>
      </c>
      <c r="D10" s="7">
        <v>98.7</v>
      </c>
      <c r="E10" s="17">
        <v>7.73</v>
      </c>
      <c r="F10" s="7">
        <v>90.8</v>
      </c>
      <c r="G10" s="7">
        <v>67</v>
      </c>
      <c r="H10" s="20">
        <f t="shared" si="0"/>
        <v>1.1166666666666667</v>
      </c>
      <c r="I10" s="13">
        <v>0.25</v>
      </c>
      <c r="J10" s="21">
        <f t="shared" si="1"/>
        <v>0.39190298507462695</v>
      </c>
    </row>
    <row r="11" spans="1:10" ht="15.75" customHeight="1" x14ac:dyDescent="0.25">
      <c r="A11" s="7" t="s">
        <v>32</v>
      </c>
      <c r="B11" s="7">
        <v>21</v>
      </c>
      <c r="C11" s="8">
        <v>8.0299999999999994</v>
      </c>
      <c r="D11" s="1">
        <v>91.8</v>
      </c>
      <c r="E11" s="17">
        <v>7.75</v>
      </c>
      <c r="F11" s="7">
        <v>87.7</v>
      </c>
      <c r="G11" s="7">
        <v>81</v>
      </c>
      <c r="H11" s="20">
        <f t="shared" si="0"/>
        <v>1.35</v>
      </c>
      <c r="I11" s="11">
        <v>0.25</v>
      </c>
      <c r="J11" s="21">
        <f t="shared" si="1"/>
        <v>0.57231481481481472</v>
      </c>
    </row>
    <row r="12" spans="1:10" ht="15" x14ac:dyDescent="0.25">
      <c r="A12" s="1" t="s">
        <v>38</v>
      </c>
      <c r="B12" s="7">
        <v>21</v>
      </c>
      <c r="C12" s="8">
        <v>8.0299999999999994</v>
      </c>
      <c r="D12" s="1">
        <v>91.8</v>
      </c>
      <c r="E12" s="17">
        <v>5.19</v>
      </c>
      <c r="F12" s="1">
        <v>61.8</v>
      </c>
      <c r="G12" s="1">
        <v>67</v>
      </c>
      <c r="H12" s="20">
        <f t="shared" si="0"/>
        <v>1.1166666666666667</v>
      </c>
      <c r="I12" s="11">
        <v>0.25</v>
      </c>
      <c r="J12" s="21">
        <f t="shared" si="1"/>
        <v>0.84555970149253712</v>
      </c>
    </row>
    <row r="13" spans="1:10" ht="15" x14ac:dyDescent="0.25">
      <c r="A13" s="1" t="s">
        <v>41</v>
      </c>
      <c r="B13" s="1">
        <v>21</v>
      </c>
      <c r="C13" s="8">
        <v>8.16</v>
      </c>
      <c r="D13" s="1">
        <v>95</v>
      </c>
      <c r="E13" s="17">
        <v>7.59</v>
      </c>
      <c r="F13" s="1">
        <v>90.9</v>
      </c>
      <c r="G13" s="1">
        <v>60</v>
      </c>
      <c r="H13" s="20">
        <f t="shared" si="0"/>
        <v>1</v>
      </c>
      <c r="I13" s="13">
        <v>0.25</v>
      </c>
      <c r="J13" s="21">
        <f t="shared" si="1"/>
        <v>0.14250000000000007</v>
      </c>
    </row>
    <row r="14" spans="1:10" ht="15" x14ac:dyDescent="0.25">
      <c r="A14" s="7" t="s">
        <v>18</v>
      </c>
      <c r="B14" s="7">
        <v>24</v>
      </c>
      <c r="C14" s="8">
        <v>8.39</v>
      </c>
      <c r="D14" s="7" t="s">
        <v>19</v>
      </c>
      <c r="E14" s="17">
        <v>7.42</v>
      </c>
      <c r="F14" s="7">
        <v>87.8</v>
      </c>
      <c r="G14" s="7">
        <v>61</v>
      </c>
      <c r="H14" s="20">
        <f t="shared" si="0"/>
        <v>1.0166666666666666</v>
      </c>
      <c r="I14" s="11">
        <v>0.25</v>
      </c>
      <c r="J14" s="21">
        <f t="shared" si="1"/>
        <v>0.27290983606557373</v>
      </c>
    </row>
    <row r="15" spans="1:10" ht="15" x14ac:dyDescent="0.25">
      <c r="A15" s="7" t="s">
        <v>33</v>
      </c>
      <c r="B15" s="7">
        <v>24</v>
      </c>
      <c r="C15" s="8">
        <v>9.9499999999999993</v>
      </c>
      <c r="D15" s="7">
        <v>100.2</v>
      </c>
      <c r="E15" s="17">
        <v>7.42</v>
      </c>
      <c r="F15" s="7">
        <v>86.4</v>
      </c>
      <c r="G15" s="7">
        <v>71</v>
      </c>
      <c r="H15" s="20">
        <f t="shared" si="0"/>
        <v>1.1833333333333333</v>
      </c>
      <c r="I15" s="11">
        <v>0.25</v>
      </c>
      <c r="J15" s="21">
        <f t="shared" si="1"/>
        <v>0.91989436619718301</v>
      </c>
    </row>
    <row r="16" spans="1:10" ht="15" x14ac:dyDescent="0.25">
      <c r="A16" s="1" t="s">
        <v>38</v>
      </c>
      <c r="B16" s="7">
        <v>24</v>
      </c>
      <c r="C16" s="8">
        <v>7.7</v>
      </c>
      <c r="D16" s="1">
        <v>91.1</v>
      </c>
      <c r="E16" s="17">
        <v>4.38</v>
      </c>
      <c r="F16" s="1">
        <v>55.1</v>
      </c>
      <c r="G16" s="1">
        <v>60</v>
      </c>
      <c r="H16" s="20">
        <f t="shared" si="0"/>
        <v>1</v>
      </c>
      <c r="I16" s="11">
        <v>0.25</v>
      </c>
      <c r="J16" s="21">
        <f t="shared" si="1"/>
        <v>0.83000000000000007</v>
      </c>
    </row>
    <row r="17" spans="1:10" ht="15" x14ac:dyDescent="0.25">
      <c r="A17" s="7" t="s">
        <v>20</v>
      </c>
      <c r="B17" s="7">
        <v>27</v>
      </c>
      <c r="C17" s="8">
        <v>8.07</v>
      </c>
      <c r="D17" s="7">
        <v>96.2</v>
      </c>
      <c r="E17" s="17">
        <v>7.56</v>
      </c>
      <c r="F17" s="7">
        <v>85.1</v>
      </c>
      <c r="G17" s="7">
        <v>72</v>
      </c>
      <c r="H17" s="20">
        <f t="shared" si="0"/>
        <v>1.2</v>
      </c>
      <c r="I17" s="13">
        <v>0.25</v>
      </c>
      <c r="J17" s="21">
        <f t="shared" si="1"/>
        <v>0.44250000000000012</v>
      </c>
    </row>
    <row r="18" spans="1:10" ht="15" x14ac:dyDescent="0.25">
      <c r="A18" s="7" t="s">
        <v>26</v>
      </c>
      <c r="B18" s="7">
        <v>27</v>
      </c>
      <c r="C18" s="8">
        <v>5.99</v>
      </c>
      <c r="D18" s="7">
        <v>114</v>
      </c>
      <c r="E18" s="17">
        <v>8.7100000000000009</v>
      </c>
      <c r="F18" s="7">
        <v>102.5</v>
      </c>
      <c r="G18" s="7">
        <v>57</v>
      </c>
      <c r="H18" s="20">
        <f t="shared" si="0"/>
        <v>0.95</v>
      </c>
      <c r="I18" s="11">
        <v>0.25</v>
      </c>
      <c r="J18" s="21">
        <f t="shared" si="1"/>
        <v>-0.79460526315789481</v>
      </c>
    </row>
    <row r="19" spans="1:10" ht="15" x14ac:dyDescent="0.25">
      <c r="A19" s="7" t="s">
        <v>34</v>
      </c>
      <c r="B19" s="7">
        <v>27</v>
      </c>
      <c r="C19" s="8">
        <v>7.23</v>
      </c>
      <c r="D19" s="7">
        <v>94.4</v>
      </c>
      <c r="E19" s="17">
        <v>7.19</v>
      </c>
      <c r="F19" s="7">
        <v>87.3</v>
      </c>
      <c r="G19" s="7">
        <v>60</v>
      </c>
      <c r="H19" s="20">
        <f t="shared" si="0"/>
        <v>1</v>
      </c>
      <c r="I19" s="11">
        <v>0.25</v>
      </c>
      <c r="J19" s="21">
        <f t="shared" si="1"/>
        <v>1.0000000000000009E-2</v>
      </c>
    </row>
    <row r="20" spans="1:10" ht="15" x14ac:dyDescent="0.25">
      <c r="A20" s="1" t="s">
        <v>38</v>
      </c>
      <c r="B20" s="7">
        <v>28</v>
      </c>
      <c r="C20" s="8">
        <v>7.23</v>
      </c>
      <c r="D20" s="15">
        <v>94.4</v>
      </c>
      <c r="E20" s="17">
        <v>3.3</v>
      </c>
      <c r="F20" s="1">
        <v>42.1</v>
      </c>
      <c r="G20" s="1">
        <v>108</v>
      </c>
      <c r="H20" s="20">
        <f t="shared" si="0"/>
        <v>1.8</v>
      </c>
      <c r="I20" s="11">
        <v>0.25</v>
      </c>
      <c r="J20" s="21">
        <f t="shared" si="1"/>
        <v>1.3491666666666668</v>
      </c>
    </row>
    <row r="21" spans="1:10" ht="15" x14ac:dyDescent="0.25">
      <c r="A21" s="7" t="s">
        <v>21</v>
      </c>
      <c r="B21" s="7">
        <v>30</v>
      </c>
      <c r="C21" s="8">
        <v>7.66</v>
      </c>
      <c r="D21" s="7">
        <v>98.4</v>
      </c>
      <c r="E21" s="17">
        <v>6.33</v>
      </c>
      <c r="F21" s="7">
        <v>78.599999999999994</v>
      </c>
      <c r="G21" s="19">
        <v>90</v>
      </c>
      <c r="H21" s="20">
        <f t="shared" si="0"/>
        <v>1.5</v>
      </c>
      <c r="I21" s="13">
        <v>0.25</v>
      </c>
      <c r="J21" s="21">
        <f t="shared" si="1"/>
        <v>0.8600000000000001</v>
      </c>
    </row>
    <row r="22" spans="1:10" ht="15" x14ac:dyDescent="0.25">
      <c r="A22" s="7" t="s">
        <v>25</v>
      </c>
      <c r="B22" s="7">
        <v>30</v>
      </c>
      <c r="C22" s="8">
        <v>8.15</v>
      </c>
      <c r="D22" s="7">
        <v>106.9</v>
      </c>
      <c r="E22" s="17">
        <v>9.6999999999999993</v>
      </c>
      <c r="F22" s="7">
        <v>114.5</v>
      </c>
      <c r="G22" s="7">
        <v>57</v>
      </c>
      <c r="H22" s="20">
        <f t="shared" si="0"/>
        <v>0.95</v>
      </c>
      <c r="I22" s="11">
        <v>0.25</v>
      </c>
      <c r="J22" s="21">
        <f t="shared" si="1"/>
        <v>-0.51513157894736805</v>
      </c>
    </row>
    <row r="23" spans="1:10" ht="15" x14ac:dyDescent="0.25">
      <c r="A23" s="1" t="s">
        <v>38</v>
      </c>
      <c r="B23" s="7">
        <v>30</v>
      </c>
      <c r="C23" s="8">
        <v>6.35</v>
      </c>
      <c r="D23" s="1">
        <v>81.400000000000006</v>
      </c>
      <c r="E23" s="17">
        <v>1.6</v>
      </c>
      <c r="F23" s="1">
        <v>21.1</v>
      </c>
      <c r="G23" s="1">
        <v>112</v>
      </c>
      <c r="H23" s="20">
        <f t="shared" si="0"/>
        <v>1.8666666666666667</v>
      </c>
      <c r="I23" s="11">
        <v>0.25</v>
      </c>
      <c r="J23" s="21">
        <f t="shared" si="1"/>
        <v>1.3732142857142855</v>
      </c>
    </row>
    <row r="24" spans="1:10" ht="15" x14ac:dyDescent="0.25">
      <c r="A24" s="1" t="s">
        <v>47</v>
      </c>
      <c r="B24" s="1">
        <v>30</v>
      </c>
      <c r="C24" s="8">
        <v>8.77</v>
      </c>
      <c r="D24" s="1">
        <v>96.8</v>
      </c>
      <c r="E24" s="17">
        <v>7.14</v>
      </c>
      <c r="F24" s="1">
        <v>87.3</v>
      </c>
      <c r="G24" s="1">
        <v>60</v>
      </c>
      <c r="H24" s="20">
        <f t="shared" si="0"/>
        <v>1</v>
      </c>
      <c r="I24" s="11">
        <v>0.25</v>
      </c>
      <c r="J24" s="21">
        <f t="shared" si="1"/>
        <v>0.40749999999999997</v>
      </c>
    </row>
    <row r="25" spans="1:10" ht="15" x14ac:dyDescent="0.25">
      <c r="A25" s="7" t="s">
        <v>35</v>
      </c>
      <c r="B25" s="7">
        <v>30</v>
      </c>
      <c r="C25" s="8">
        <v>6.35</v>
      </c>
      <c r="D25" s="7">
        <v>81.400000000000006</v>
      </c>
      <c r="E25" s="17">
        <v>6.46</v>
      </c>
      <c r="F25" s="7">
        <v>83.6</v>
      </c>
      <c r="G25" s="7">
        <v>117</v>
      </c>
      <c r="H25" s="20">
        <f t="shared" si="0"/>
        <v>1.95</v>
      </c>
      <c r="I25" s="13">
        <v>0.25</v>
      </c>
      <c r="J25" s="21">
        <f t="shared" si="1"/>
        <v>0.75929487179487165</v>
      </c>
    </row>
    <row r="26" spans="1:10" ht="15" x14ac:dyDescent="0.25">
      <c r="A26" s="1" t="s">
        <v>45</v>
      </c>
      <c r="B26" s="1" t="s">
        <v>46</v>
      </c>
      <c r="C26" s="8">
        <v>7.64</v>
      </c>
      <c r="D26" s="1">
        <v>95.2</v>
      </c>
      <c r="E26" s="17">
        <v>6.92</v>
      </c>
      <c r="F26" s="1">
        <v>85.4</v>
      </c>
      <c r="G26" s="1">
        <v>69</v>
      </c>
      <c r="H26" s="20">
        <f t="shared" si="0"/>
        <v>1.1499999999999999</v>
      </c>
      <c r="I26" s="11">
        <v>0.25</v>
      </c>
      <c r="J26" s="21">
        <f t="shared" si="1"/>
        <v>0.4056521739130432</v>
      </c>
    </row>
    <row r="27" spans="1:10" x14ac:dyDescent="0.2">
      <c r="A27" s="22" t="s">
        <v>49</v>
      </c>
      <c r="J27" s="23">
        <f>AVERAGE(J4:J6)</f>
        <v>0.89535087190613938</v>
      </c>
    </row>
    <row r="28" spans="1:10" x14ac:dyDescent="0.2">
      <c r="A28" s="22" t="s">
        <v>50</v>
      </c>
      <c r="J28" s="23">
        <f>AVERAGE(J7:J9)</f>
        <v>0.75558537441000118</v>
      </c>
    </row>
    <row r="29" spans="1:10" x14ac:dyDescent="0.2">
      <c r="A29" s="22" t="s">
        <v>51</v>
      </c>
      <c r="J29" s="23">
        <f>AVERAGE(J10:J13)</f>
        <v>0.48806937534549472</v>
      </c>
    </row>
    <row r="30" spans="1:10" x14ac:dyDescent="0.2">
      <c r="A30" s="22" t="s">
        <v>52</v>
      </c>
      <c r="J30" s="23">
        <f>AVERAGE(J14:J16)</f>
        <v>0.67426806742091883</v>
      </c>
    </row>
    <row r="31" spans="1:10" x14ac:dyDescent="0.2">
      <c r="A31" s="22" t="s">
        <v>53</v>
      </c>
      <c r="J31" s="23">
        <f>AVERAGE(J17:J20)</f>
        <v>0.25176535087719304</v>
      </c>
    </row>
    <row r="32" spans="1:10" x14ac:dyDescent="0.2">
      <c r="A32" s="22" t="s">
        <v>54</v>
      </c>
      <c r="J32" s="23">
        <f>AVERAGE(J21:J25)</f>
        <v>0.57697551571235783</v>
      </c>
    </row>
    <row r="33" spans="10:10" x14ac:dyDescent="0.2">
      <c r="J33" s="23"/>
    </row>
  </sheetData>
  <sortState xmlns:xlrd2="http://schemas.microsoft.com/office/spreadsheetml/2017/richdata2" ref="A4:J26">
    <sortCondition ref="B4:B26"/>
  </sortState>
  <mergeCells count="8">
    <mergeCell ref="I1:I3"/>
    <mergeCell ref="J1:J2"/>
    <mergeCell ref="A1:A3"/>
    <mergeCell ref="B1:B3"/>
    <mergeCell ref="C1:D2"/>
    <mergeCell ref="E1:F2"/>
    <mergeCell ref="G1:G3"/>
    <mergeCell ref="H1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43456-F2F4-4C7B-85BD-D80FDC9F458B}">
  <dimension ref="A1:B91"/>
  <sheetViews>
    <sheetView workbookViewId="0">
      <selection activeCell="K30" sqref="K30"/>
    </sheetView>
  </sheetViews>
  <sheetFormatPr defaultRowHeight="12.75" x14ac:dyDescent="0.2"/>
  <cols>
    <col min="2" max="2" width="12.5703125" bestFit="1" customWidth="1"/>
  </cols>
  <sheetData>
    <row r="1" spans="1:2" x14ac:dyDescent="0.2">
      <c r="A1" s="24" t="s">
        <v>55</v>
      </c>
      <c r="B1" s="24" t="s">
        <v>56</v>
      </c>
    </row>
    <row r="2" spans="1:2" ht="15" x14ac:dyDescent="0.25">
      <c r="A2" s="19">
        <v>15</v>
      </c>
      <c r="B2" s="23">
        <v>44.715447154471526</v>
      </c>
    </row>
    <row r="3" spans="1:2" ht="15" x14ac:dyDescent="0.25">
      <c r="A3" s="19">
        <v>18</v>
      </c>
      <c r="B3" s="23">
        <v>9.1743119266054727</v>
      </c>
    </row>
    <row r="4" spans="1:2" ht="15" x14ac:dyDescent="0.25">
      <c r="A4" s="19">
        <v>21</v>
      </c>
      <c r="B4" s="23">
        <v>-14.591439688715946</v>
      </c>
    </row>
    <row r="5" spans="1:2" ht="15" x14ac:dyDescent="0.25">
      <c r="A5" s="19">
        <v>24</v>
      </c>
      <c r="B5" s="23">
        <v>35.804816223067199</v>
      </c>
    </row>
    <row r="6" spans="1:2" ht="15" x14ac:dyDescent="0.25">
      <c r="A6" s="19">
        <v>27</v>
      </c>
      <c r="B6" s="23">
        <v>-54.322429906542041</v>
      </c>
    </row>
    <row r="7" spans="1:2" ht="15" x14ac:dyDescent="0.25">
      <c r="A7" s="19">
        <v>30</v>
      </c>
      <c r="B7" s="23">
        <v>-27.587890624999996</v>
      </c>
    </row>
    <row r="8" spans="1:2" ht="15" x14ac:dyDescent="0.25">
      <c r="A8" s="19">
        <v>15</v>
      </c>
      <c r="B8" s="23">
        <v>55.954683614258073</v>
      </c>
    </row>
    <row r="9" spans="1:2" ht="15" x14ac:dyDescent="0.25">
      <c r="A9" s="19">
        <v>18</v>
      </c>
      <c r="B9" s="23">
        <v>126.42310960067968</v>
      </c>
    </row>
    <row r="10" spans="1:2" ht="15" x14ac:dyDescent="0.25">
      <c r="A10" s="19">
        <v>21</v>
      </c>
      <c r="B10" s="23">
        <v>136.36363636363629</v>
      </c>
    </row>
    <row r="11" spans="1:2" ht="15" x14ac:dyDescent="0.25">
      <c r="A11" s="19">
        <v>24</v>
      </c>
      <c r="B11" s="23">
        <v>59.083031353395313</v>
      </c>
    </row>
    <row r="12" spans="1:2" ht="15" x14ac:dyDescent="0.25">
      <c r="A12" s="19">
        <v>27</v>
      </c>
      <c r="B12" s="23">
        <v>166.35050342915514</v>
      </c>
    </row>
    <row r="13" spans="1:2" ht="15" x14ac:dyDescent="0.25">
      <c r="A13" s="19">
        <v>30</v>
      </c>
      <c r="B13" s="23">
        <v>97.055968942089947</v>
      </c>
    </row>
    <row r="14" spans="1:2" ht="15" x14ac:dyDescent="0.25">
      <c r="A14" s="19">
        <v>15</v>
      </c>
      <c r="B14" s="23">
        <v>198.41269841269838</v>
      </c>
    </row>
    <row r="15" spans="1:2" ht="15" x14ac:dyDescent="0.25">
      <c r="A15" s="19">
        <v>18</v>
      </c>
      <c r="B15" s="23">
        <v>43.202764976958591</v>
      </c>
    </row>
    <row r="16" spans="1:2" ht="15" x14ac:dyDescent="0.25">
      <c r="A16" s="19">
        <v>21</v>
      </c>
      <c r="B16" s="23">
        <v>237.96932839767319</v>
      </c>
    </row>
    <row r="17" spans="1:2" ht="15" x14ac:dyDescent="0.25">
      <c r="A17" s="19">
        <v>24</v>
      </c>
      <c r="B17" s="23">
        <v>20.125223613595676</v>
      </c>
    </row>
    <row r="18" spans="1:2" ht="15" x14ac:dyDescent="0.25">
      <c r="A18" s="19">
        <v>27</v>
      </c>
      <c r="B18" s="23">
        <v>9.3864242663768582</v>
      </c>
    </row>
    <row r="19" spans="1:2" ht="15" x14ac:dyDescent="0.25">
      <c r="A19" s="19">
        <v>30</v>
      </c>
      <c r="B19" s="23">
        <v>-45.807235673553357</v>
      </c>
    </row>
    <row r="20" spans="1:2" ht="15" x14ac:dyDescent="0.25">
      <c r="A20" s="19">
        <v>15</v>
      </c>
      <c r="B20" s="23">
        <v>3.7878787878788192</v>
      </c>
    </row>
    <row r="21" spans="1:2" ht="15" x14ac:dyDescent="0.25">
      <c r="A21" s="19">
        <v>18</v>
      </c>
      <c r="B21" s="23">
        <v>109.33333333333334</v>
      </c>
    </row>
    <row r="22" spans="1:2" ht="15" x14ac:dyDescent="0.25">
      <c r="A22" s="19">
        <v>21</v>
      </c>
      <c r="B22" s="23">
        <v>144.46366782006919</v>
      </c>
    </row>
    <row r="23" spans="1:2" ht="15" x14ac:dyDescent="0.25">
      <c r="A23" s="19">
        <v>24</v>
      </c>
      <c r="B23" s="23">
        <v>113.87900355871881</v>
      </c>
    </row>
    <row r="24" spans="1:2" ht="15" x14ac:dyDescent="0.25">
      <c r="A24" s="19">
        <v>27</v>
      </c>
      <c r="B24" s="23">
        <v>146.93446088794926</v>
      </c>
    </row>
    <row r="25" spans="1:2" ht="15" x14ac:dyDescent="0.25">
      <c r="A25" s="19">
        <v>30</v>
      </c>
      <c r="B25" s="23">
        <v>77.540106951871664</v>
      </c>
    </row>
    <row r="26" spans="1:2" ht="15" x14ac:dyDescent="0.25">
      <c r="A26" s="19">
        <v>15</v>
      </c>
      <c r="B26" s="23">
        <v>15.067502410800385</v>
      </c>
    </row>
    <row r="27" spans="1:2" ht="15" x14ac:dyDescent="0.25">
      <c r="A27" s="19">
        <v>18</v>
      </c>
      <c r="B27" s="23">
        <v>93.48441926345609</v>
      </c>
    </row>
    <row r="28" spans="1:2" ht="15" x14ac:dyDescent="0.25">
      <c r="A28" s="19">
        <v>21</v>
      </c>
      <c r="B28" s="23">
        <v>159.49750065772167</v>
      </c>
    </row>
    <row r="29" spans="1:2" ht="15" x14ac:dyDescent="0.25">
      <c r="A29" s="19">
        <v>24</v>
      </c>
      <c r="B29" s="23">
        <v>62.355658198614329</v>
      </c>
    </row>
    <row r="30" spans="1:2" ht="15" x14ac:dyDescent="0.25">
      <c r="A30" s="19">
        <v>27</v>
      </c>
      <c r="B30" s="23">
        <v>203.17002881844377</v>
      </c>
    </row>
    <row r="31" spans="1:2" ht="15" x14ac:dyDescent="0.25">
      <c r="A31" s="19">
        <v>30</v>
      </c>
      <c r="B31" s="23">
        <v>168.17010309278351</v>
      </c>
    </row>
    <row r="32" spans="1:2" ht="15" x14ac:dyDescent="0.25">
      <c r="A32" s="19">
        <v>15</v>
      </c>
      <c r="B32" s="23">
        <v>37.644060925464792</v>
      </c>
    </row>
    <row r="33" spans="1:2" ht="15" x14ac:dyDescent="0.25">
      <c r="A33" s="19">
        <v>18</v>
      </c>
      <c r="B33" s="23">
        <v>244.9497677433294</v>
      </c>
    </row>
    <row r="34" spans="1:2" ht="15" x14ac:dyDescent="0.25">
      <c r="A34" s="19">
        <v>21</v>
      </c>
      <c r="B34" s="23">
        <v>130.18193326970533</v>
      </c>
    </row>
    <row r="35" spans="1:2" ht="15" x14ac:dyDescent="0.25">
      <c r="A35" s="19">
        <v>24</v>
      </c>
      <c r="B35" s="23">
        <v>163.90702001773539</v>
      </c>
    </row>
    <row r="36" spans="1:2" ht="15" x14ac:dyDescent="0.25">
      <c r="A36" s="19">
        <v>27</v>
      </c>
      <c r="B36" s="23">
        <v>-15.378463999015795</v>
      </c>
    </row>
    <row r="37" spans="1:2" ht="15" x14ac:dyDescent="0.25">
      <c r="A37" s="19">
        <v>30</v>
      </c>
      <c r="B37" s="23">
        <v>66.432680270645989</v>
      </c>
    </row>
    <row r="38" spans="1:2" ht="15" x14ac:dyDescent="0.25">
      <c r="A38" s="19">
        <v>15</v>
      </c>
      <c r="B38" s="23">
        <v>112.79891713039551</v>
      </c>
    </row>
    <row r="39" spans="1:2" ht="15" x14ac:dyDescent="0.25">
      <c r="A39" s="19">
        <v>18</v>
      </c>
      <c r="B39" s="23">
        <v>100.99531615925056</v>
      </c>
    </row>
    <row r="40" spans="1:2" ht="15" x14ac:dyDescent="0.25">
      <c r="A40" s="19">
        <v>21</v>
      </c>
      <c r="B40" s="23">
        <v>137.57115749525613</v>
      </c>
    </row>
    <row r="41" spans="1:2" ht="15" x14ac:dyDescent="0.25">
      <c r="A41" s="19">
        <v>24</v>
      </c>
      <c r="B41" s="23">
        <v>165.39235412474852</v>
      </c>
    </row>
    <row r="42" spans="1:2" ht="15" x14ac:dyDescent="0.25">
      <c r="A42" s="19">
        <v>27</v>
      </c>
      <c r="B42" s="23">
        <v>92.783505154639187</v>
      </c>
    </row>
    <row r="43" spans="1:2" ht="15" x14ac:dyDescent="0.25">
      <c r="A43" s="19">
        <v>30</v>
      </c>
      <c r="B43" s="23">
        <v>251.39425139425137</v>
      </c>
    </row>
    <row r="44" spans="1:2" ht="15" x14ac:dyDescent="0.25">
      <c r="A44" s="19">
        <v>15</v>
      </c>
      <c r="B44" s="23">
        <v>60.210513796384461</v>
      </c>
    </row>
    <row r="45" spans="1:2" ht="15" x14ac:dyDescent="0.25">
      <c r="A45" s="19">
        <v>18</v>
      </c>
      <c r="B45" s="23">
        <v>55.85387841492571</v>
      </c>
    </row>
    <row r="46" spans="1:2" ht="15" x14ac:dyDescent="0.25">
      <c r="A46" s="19">
        <v>21</v>
      </c>
      <c r="B46" s="23">
        <v>66.854350502770387</v>
      </c>
    </row>
    <row r="47" spans="1:2" ht="15" x14ac:dyDescent="0.25">
      <c r="A47" s="19">
        <v>24</v>
      </c>
      <c r="B47" s="23">
        <v>170.30812324929971</v>
      </c>
    </row>
    <row r="48" spans="1:2" ht="15" x14ac:dyDescent="0.25">
      <c r="A48" s="19"/>
      <c r="B48" s="23">
        <v>97.546575993110721</v>
      </c>
    </row>
    <row r="49" spans="1:2" ht="15" x14ac:dyDescent="0.25">
      <c r="A49" s="19">
        <v>30</v>
      </c>
      <c r="B49" s="23">
        <v>114.62574381459439</v>
      </c>
    </row>
    <row r="50" spans="1:2" x14ac:dyDescent="0.2">
      <c r="A50" s="15">
        <v>15</v>
      </c>
      <c r="B50" s="23">
        <v>77.060531605986043</v>
      </c>
    </row>
    <row r="51" spans="1:2" x14ac:dyDescent="0.2">
      <c r="A51" s="15">
        <v>18</v>
      </c>
      <c r="B51" s="23">
        <v>95.588235294117624</v>
      </c>
    </row>
    <row r="52" spans="1:2" x14ac:dyDescent="0.2">
      <c r="A52" s="15">
        <v>21</v>
      </c>
      <c r="B52" s="23">
        <v>69.269237700486556</v>
      </c>
    </row>
    <row r="53" spans="1:2" x14ac:dyDescent="0.2">
      <c r="A53" s="15">
        <v>24</v>
      </c>
      <c r="B53" s="23">
        <v>108.65713948269754</v>
      </c>
    </row>
    <row r="54" spans="1:2" x14ac:dyDescent="0.2">
      <c r="A54" s="15"/>
      <c r="B54" s="23">
        <v>82.386668095595326</v>
      </c>
    </row>
    <row r="55" spans="1:2" x14ac:dyDescent="0.2">
      <c r="A55" s="15">
        <v>30</v>
      </c>
      <c r="B55" s="23">
        <v>95.837076969152449</v>
      </c>
    </row>
    <row r="56" spans="1:2" x14ac:dyDescent="0.2">
      <c r="A56" s="15">
        <v>15</v>
      </c>
      <c r="B56" s="23">
        <v>38.626609442060087</v>
      </c>
    </row>
    <row r="57" spans="1:2" x14ac:dyDescent="0.2">
      <c r="A57" s="15">
        <v>18</v>
      </c>
      <c r="B57" s="23">
        <v>71.016166281755176</v>
      </c>
    </row>
    <row r="58" spans="1:2" x14ac:dyDescent="0.2">
      <c r="A58" s="15">
        <v>21</v>
      </c>
      <c r="B58" s="23">
        <v>67.841880341880369</v>
      </c>
    </row>
    <row r="59" spans="1:2" x14ac:dyDescent="0.2">
      <c r="A59" s="15">
        <v>24</v>
      </c>
      <c r="B59" s="23">
        <v>-7.9281183932346426</v>
      </c>
    </row>
    <row r="60" spans="1:2" x14ac:dyDescent="0.2">
      <c r="A60" s="15">
        <v>27</v>
      </c>
      <c r="B60" s="23">
        <v>155.0632911392405</v>
      </c>
    </row>
    <row r="61" spans="1:2" x14ac:dyDescent="0.2">
      <c r="A61" s="15">
        <v>30</v>
      </c>
      <c r="B61" s="23">
        <v>367.55485893416932</v>
      </c>
    </row>
    <row r="62" spans="1:2" x14ac:dyDescent="0.2">
      <c r="A62" s="15">
        <v>15</v>
      </c>
      <c r="B62" s="23">
        <v>62.169356740910445</v>
      </c>
    </row>
    <row r="63" spans="1:2" x14ac:dyDescent="0.2">
      <c r="A63" s="15">
        <v>18</v>
      </c>
      <c r="B63" s="23">
        <v>24.821983752883348</v>
      </c>
    </row>
    <row r="64" spans="1:2" x14ac:dyDescent="0.2">
      <c r="A64" s="15">
        <v>21</v>
      </c>
      <c r="B64" s="23">
        <v>96.640719467956487</v>
      </c>
    </row>
    <row r="65" spans="1:2" x14ac:dyDescent="0.2">
      <c r="A65" s="15">
        <v>24</v>
      </c>
      <c r="B65" s="23">
        <v>102.02183081121308</v>
      </c>
    </row>
    <row r="66" spans="1:2" x14ac:dyDescent="0.2">
      <c r="A66" s="15">
        <v>27</v>
      </c>
      <c r="B66" s="23">
        <v>169.03756390308959</v>
      </c>
    </row>
    <row r="67" spans="1:2" x14ac:dyDescent="0.2">
      <c r="A67" s="15">
        <v>30</v>
      </c>
      <c r="B67" s="23">
        <v>73.298745173745175</v>
      </c>
    </row>
    <row r="68" spans="1:2" x14ac:dyDescent="0.2">
      <c r="A68" s="15">
        <v>15</v>
      </c>
      <c r="B68" s="23">
        <v>52.054794520547958</v>
      </c>
    </row>
    <row r="69" spans="1:2" x14ac:dyDescent="0.2">
      <c r="A69" s="15">
        <v>18</v>
      </c>
      <c r="B69" s="23">
        <v>85.135135135135116</v>
      </c>
    </row>
    <row r="70" spans="1:2" x14ac:dyDescent="0.2">
      <c r="A70" s="15">
        <v>21</v>
      </c>
      <c r="B70" s="23">
        <v>80.466727895132365</v>
      </c>
    </row>
    <row r="71" spans="1:2" x14ac:dyDescent="0.2">
      <c r="A71" s="15">
        <v>24</v>
      </c>
      <c r="B71" s="23">
        <v>80.758426966292149</v>
      </c>
    </row>
    <row r="72" spans="1:2" x14ac:dyDescent="0.2">
      <c r="A72" s="15">
        <v>27</v>
      </c>
      <c r="B72" s="23">
        <v>102.41569334211347</v>
      </c>
    </row>
    <row r="73" spans="1:2" x14ac:dyDescent="0.2">
      <c r="A73" s="15">
        <v>30</v>
      </c>
      <c r="B73" s="23">
        <v>173.37447043654447</v>
      </c>
    </row>
    <row r="74" spans="1:2" x14ac:dyDescent="0.2">
      <c r="A74" s="15">
        <v>15</v>
      </c>
      <c r="B74" s="23">
        <v>22.37737200143215</v>
      </c>
    </row>
    <row r="75" spans="1:2" x14ac:dyDescent="0.2">
      <c r="A75" s="15">
        <v>18</v>
      </c>
      <c r="B75" s="23">
        <v>146.23296314992427</v>
      </c>
    </row>
    <row r="76" spans="1:2" x14ac:dyDescent="0.2">
      <c r="A76" s="15">
        <v>21</v>
      </c>
      <c r="B76" s="23">
        <v>94.123367602111699</v>
      </c>
    </row>
    <row r="77" spans="1:2" x14ac:dyDescent="0.2">
      <c r="A77" s="15">
        <v>24</v>
      </c>
      <c r="B77" s="23">
        <v>135.59262878682114</v>
      </c>
    </row>
    <row r="78" spans="1:2" x14ac:dyDescent="0.2">
      <c r="A78" s="15">
        <v>27</v>
      </c>
      <c r="B78" s="23">
        <v>256.08194622279126</v>
      </c>
    </row>
    <row r="79" spans="1:2" x14ac:dyDescent="0.2">
      <c r="A79" s="15">
        <v>30</v>
      </c>
      <c r="B79" s="23">
        <v>165.34941763727122</v>
      </c>
    </row>
    <row r="80" spans="1:2" x14ac:dyDescent="0.2">
      <c r="A80" s="15">
        <v>15</v>
      </c>
      <c r="B80" s="23">
        <v>47.252747252747248</v>
      </c>
    </row>
    <row r="81" spans="1:2" x14ac:dyDescent="0.2">
      <c r="A81" s="15">
        <v>18</v>
      </c>
      <c r="B81" s="23">
        <v>73.378666396021501</v>
      </c>
    </row>
    <row r="82" spans="1:2" x14ac:dyDescent="0.2">
      <c r="A82" s="15">
        <v>21</v>
      </c>
      <c r="B82" s="23">
        <v>157.45114383625085</v>
      </c>
    </row>
    <row r="83" spans="1:2" x14ac:dyDescent="0.2">
      <c r="A83" s="15">
        <v>24</v>
      </c>
      <c r="B83" s="23">
        <v>81.576893052302893</v>
      </c>
    </row>
    <row r="84" spans="1:2" x14ac:dyDescent="0.2">
      <c r="A84" s="15">
        <v>27</v>
      </c>
      <c r="B84" s="23">
        <v>157.29229836264398</v>
      </c>
    </row>
    <row r="85" spans="1:2" x14ac:dyDescent="0.2">
      <c r="A85" s="15">
        <v>30</v>
      </c>
      <c r="B85" s="23">
        <v>97.318870241506346</v>
      </c>
    </row>
    <row r="86" spans="1:2" x14ac:dyDescent="0.2">
      <c r="A86" s="15">
        <v>15</v>
      </c>
      <c r="B86" s="23">
        <v>57.234432234432241</v>
      </c>
    </row>
    <row r="87" spans="1:2" x14ac:dyDescent="0.2">
      <c r="A87" s="15">
        <v>18</v>
      </c>
      <c r="B87" s="23">
        <v>107.66022827041262</v>
      </c>
    </row>
    <row r="88" spans="1:2" x14ac:dyDescent="0.2">
      <c r="A88" s="15">
        <v>21</v>
      </c>
      <c r="B88" s="23">
        <v>118.29956399076687</v>
      </c>
    </row>
    <row r="89" spans="1:2" x14ac:dyDescent="0.2">
      <c r="A89" s="15">
        <v>24</v>
      </c>
      <c r="B89" s="23">
        <v>163.17066828464937</v>
      </c>
    </row>
    <row r="90" spans="1:2" x14ac:dyDescent="0.2">
      <c r="A90" s="15">
        <v>27</v>
      </c>
      <c r="B90" s="23">
        <v>202.62462859029381</v>
      </c>
    </row>
    <row r="91" spans="1:2" x14ac:dyDescent="0.2">
      <c r="A91" s="15">
        <v>30</v>
      </c>
      <c r="B91" s="23">
        <v>140.94864566736121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Control Data</vt:lpstr>
      <vt:lpstr>Data for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Weisbecker</dc:creator>
  <cp:lastModifiedBy>Vera Weisbecker</cp:lastModifiedBy>
  <dcterms:created xsi:type="dcterms:W3CDTF">2026-10-18T22:29:56Z</dcterms:created>
  <dcterms:modified xsi:type="dcterms:W3CDTF">2026-10-18T23:28:32Z</dcterms:modified>
</cp:coreProperties>
</file>